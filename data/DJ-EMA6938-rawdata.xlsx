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wJohnson/Desktop/EMA6938/Final Project/"/>
    </mc:Choice>
  </mc:AlternateContent>
  <xr:revisionPtr revIDLastSave="0" documentId="13_ncr:1_{92620C98-4C5F-F843-A550-ECA57BAC0680}" xr6:coauthVersionLast="47" xr6:coauthVersionMax="47" xr10:uidLastSave="{00000000-0000-0000-0000-000000000000}"/>
  <bookViews>
    <workbookView xWindow="0" yWindow="660" windowWidth="30240" windowHeight="17380" xr2:uid="{88812E91-E0C6-4B9E-BF43-E4544722F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02" i="1" l="1"/>
  <c r="T102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38" i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S29" i="1"/>
  <c r="S28" i="1"/>
  <c r="T28" i="1" s="1"/>
  <c r="S27" i="1"/>
  <c r="T27" i="1" s="1"/>
  <c r="S26" i="1"/>
  <c r="T26" i="1" s="1"/>
  <c r="S25" i="1"/>
  <c r="T25" i="1" s="1"/>
  <c r="S24" i="1"/>
  <c r="T24" i="1" s="1"/>
  <c r="S23" i="1"/>
  <c r="T23" i="1" s="1"/>
  <c r="S22" i="1"/>
  <c r="T22" i="1" s="1"/>
  <c r="S21" i="1"/>
  <c r="T21" i="1" s="1"/>
  <c r="S20" i="1"/>
  <c r="S19" i="1"/>
  <c r="S18" i="1"/>
  <c r="S17" i="1"/>
  <c r="T17" i="1" s="1"/>
  <c r="S16" i="1"/>
  <c r="T16" i="1" s="1"/>
  <c r="S15" i="1"/>
  <c r="T15" i="1" s="1"/>
  <c r="S14" i="1"/>
  <c r="T14" i="1" s="1"/>
  <c r="S13" i="1"/>
  <c r="T13" i="1" s="1"/>
  <c r="S12" i="1"/>
  <c r="T12" i="1" s="1"/>
  <c r="S11" i="1"/>
  <c r="T11" i="1" s="1"/>
  <c r="S10" i="1"/>
  <c r="S9" i="1"/>
  <c r="S8" i="1"/>
  <c r="S7" i="1"/>
  <c r="T7" i="1" s="1"/>
  <c r="S6" i="1"/>
  <c r="T6" i="1" s="1"/>
  <c r="S5" i="1"/>
  <c r="T5" i="1" s="1"/>
  <c r="S4" i="1"/>
  <c r="T4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S75" i="1"/>
  <c r="T75" i="1" s="1"/>
  <c r="S76" i="1"/>
  <c r="T76" i="1" s="1"/>
  <c r="S77" i="1"/>
  <c r="T77" i="1" s="1"/>
  <c r="S78" i="1"/>
  <c r="S79" i="1"/>
  <c r="T79" i="1" s="1"/>
  <c r="S80" i="1"/>
  <c r="S81" i="1"/>
  <c r="T81" i="1" s="1"/>
  <c r="S82" i="1"/>
  <c r="T82" i="1" s="1"/>
  <c r="S83" i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3" i="1"/>
  <c r="T103" i="1" s="1"/>
  <c r="S104" i="1"/>
  <c r="S105" i="1"/>
  <c r="S106" i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T74" i="1"/>
  <c r="T78" i="1"/>
  <c r="T80" i="1"/>
  <c r="T83" i="1"/>
  <c r="T104" i="1"/>
  <c r="T105" i="1"/>
  <c r="T106" i="1"/>
  <c r="T8" i="1"/>
  <c r="T9" i="1"/>
  <c r="T10" i="1"/>
  <c r="T18" i="1"/>
  <c r="T19" i="1"/>
  <c r="T20" i="1"/>
  <c r="T29" i="1"/>
  <c r="T30" i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150" i="1"/>
  <c r="T150" i="1" s="1"/>
</calcChain>
</file>

<file path=xl/sharedStrings.xml><?xml version="1.0" encoding="utf-8"?>
<sst xmlns="http://schemas.openxmlformats.org/spreadsheetml/2006/main" count="1830" uniqueCount="91">
  <si>
    <t>(N)</t>
  </si>
  <si>
    <t>Sample ID</t>
  </si>
  <si>
    <t>Max Stress</t>
  </si>
  <si>
    <t>(cm^3)</t>
  </si>
  <si>
    <t>(g)</t>
  </si>
  <si>
    <t xml:space="preserve">Volume Loss </t>
  </si>
  <si>
    <t>(%)</t>
  </si>
  <si>
    <t xml:space="preserve">Mass loss </t>
  </si>
  <si>
    <t>Mass Loss</t>
  </si>
  <si>
    <t xml:space="preserve"> (%)</t>
  </si>
  <si>
    <t xml:space="preserve">Porosity </t>
  </si>
  <si>
    <t xml:space="preserve">Final Mass </t>
  </si>
  <si>
    <t xml:space="preserve">Final Volume </t>
  </si>
  <si>
    <t xml:space="preserve">Compressive Strength </t>
  </si>
  <si>
    <t>(MPa)</t>
  </si>
  <si>
    <t>Group ID</t>
  </si>
  <si>
    <t>91525:PVA100:20</t>
  </si>
  <si>
    <t>91525:PVA100:30</t>
  </si>
  <si>
    <t>91525:PVA100:40</t>
  </si>
  <si>
    <t>91525:PVAGLY100:20</t>
  </si>
  <si>
    <t>91525:PVAGLY100:30</t>
  </si>
  <si>
    <t>91525:PVAGLY100:40</t>
  </si>
  <si>
    <t>NA</t>
  </si>
  <si>
    <t>5225:PEG20024100:20</t>
  </si>
  <si>
    <t>5225:PEG20012100:20</t>
  </si>
  <si>
    <t>5225:PEG20010501</t>
  </si>
  <si>
    <t>5225:PEG20010502</t>
  </si>
  <si>
    <t>5225:PEG20010241</t>
  </si>
  <si>
    <t>5225:PEG20010242</t>
  </si>
  <si>
    <t>Date Tested</t>
  </si>
  <si>
    <t>Binder Composition</t>
  </si>
  <si>
    <t>Feed Mix</t>
  </si>
  <si>
    <t>100:20</t>
  </si>
  <si>
    <t>100:30</t>
  </si>
  <si>
    <t>100:40</t>
  </si>
  <si>
    <t>Size</t>
  </si>
  <si>
    <t>Evans 12mm</t>
  </si>
  <si>
    <t>Cotton 5mm</t>
  </si>
  <si>
    <t>5225:PEG20015202</t>
  </si>
  <si>
    <t>5225:PEG20015201</t>
  </si>
  <si>
    <t>5225:PEG20020202</t>
  </si>
  <si>
    <t>5225:PEG20020201</t>
  </si>
  <si>
    <t>PVA</t>
  </si>
  <si>
    <t>PVA Glycerol</t>
  </si>
  <si>
    <t>PVA PEG200</t>
  </si>
  <si>
    <t>Cross Sectional Area</t>
  </si>
  <si>
    <t>(mm^3)</t>
  </si>
  <si>
    <t>Evans 6mm</t>
  </si>
  <si>
    <t>100:0</t>
  </si>
  <si>
    <t>100:10</t>
  </si>
  <si>
    <t>100:5</t>
  </si>
  <si>
    <t>4225:G1&lt;90um</t>
  </si>
  <si>
    <t>13mmx13mm plate</t>
  </si>
  <si>
    <t>41025:G1:2kN</t>
  </si>
  <si>
    <t>41025:G3:4kN</t>
  </si>
  <si>
    <t>41025:G2:3kN</t>
  </si>
  <si>
    <t>41025:G4:5kN</t>
  </si>
  <si>
    <t>(g Bioglass: g PEG6000)</t>
  </si>
  <si>
    <t>19mmx19mm plate</t>
  </si>
  <si>
    <t>32725:G1:2kN</t>
  </si>
  <si>
    <t>32725:G2:3kN</t>
  </si>
  <si>
    <t>32725:G3:4kN</t>
  </si>
  <si>
    <t>32725:G4:5kN</t>
  </si>
  <si>
    <t>7125:100:10:HMW</t>
  </si>
  <si>
    <t>7125:100:10:LMW</t>
  </si>
  <si>
    <t>7125:100:0:HMW</t>
  </si>
  <si>
    <t>7125:100:20:HMW</t>
  </si>
  <si>
    <t>62425:100:20:HMW</t>
  </si>
  <si>
    <t>62425:100:30:HMW</t>
  </si>
  <si>
    <t>62425:100:40:HMW</t>
  </si>
  <si>
    <t>62425:100:20:LMW</t>
  </si>
  <si>
    <t>62425:100:30:LMW</t>
  </si>
  <si>
    <t>62425:100:40:LMW</t>
  </si>
  <si>
    <t>71725:100:0:8%</t>
  </si>
  <si>
    <t>71725:100:0:5%</t>
  </si>
  <si>
    <t>71725:100:40:5%</t>
  </si>
  <si>
    <t>71125:100:20:HMW</t>
  </si>
  <si>
    <t>71125:100:30:HMW</t>
  </si>
  <si>
    <t>71125:100:40:HMW</t>
  </si>
  <si>
    <t>71125:100:20:LMW</t>
  </si>
  <si>
    <t>71125:100:30:LMW</t>
  </si>
  <si>
    <t>71125:100:40:LMW</t>
  </si>
  <si>
    <t xml:space="preserve">Particle Size </t>
  </si>
  <si>
    <t>Sintering Temp</t>
  </si>
  <si>
    <t>Sintering Time</t>
  </si>
  <si>
    <t>(hours)</t>
  </si>
  <si>
    <t>(Degrees Celsius)</t>
  </si>
  <si>
    <t>(Microns)</t>
  </si>
  <si>
    <t>&lt;90</t>
  </si>
  <si>
    <t>930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</si>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</sst>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1"/>
      <color theme="1"/>
      <name val="Aptos Display"/>
      <family val="2"/>
      <scheme val="major"/>
    </font>
    <font>
      <b/>
      <sz val="7.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70A4-D862-4968-92DA-37D7D32C2B12}">
  <dimension ref="C2:Y259"/>
  <sheetViews>
    <sheetView tabSelected="1" topLeftCell="A139" workbookViewId="0">
      <selection activeCell="I4" sqref="I4:J259"/>
    </sheetView>
  </sheetViews>
  <sheetFormatPr baseColWidth="10" defaultColWidth="8.83203125" defaultRowHeight="15" x14ac:dyDescent="0.2"/>
  <cols>
    <col min="3" max="3" width="8.83203125" customWidth="1"/>
    <col min="4" max="4" width="24.33203125" customWidth="1"/>
    <col min="5" max="7" width="19.83203125" customWidth="1"/>
    <col min="8" max="11" width="19.83203125" style="4" customWidth="1"/>
    <col min="12" max="12" width="11.33203125" customWidth="1"/>
    <col min="13" max="13" width="9.6640625" customWidth="1"/>
    <col min="14" max="14" width="10.6640625" customWidth="1"/>
    <col min="15" max="15" width="11.1640625" customWidth="1"/>
    <col min="16" max="16" width="8.6640625" customWidth="1"/>
    <col min="17" max="17" width="9.5" customWidth="1"/>
    <col min="18" max="18" width="18.83203125" customWidth="1"/>
    <col min="19" max="19" width="18" customWidth="1"/>
    <col min="20" max="20" width="11.1640625" customWidth="1"/>
    <col min="22" max="22" width="10.33203125" customWidth="1"/>
    <col min="23" max="23" width="18" customWidth="1"/>
    <col min="24" max="24" width="9.6640625" customWidth="1"/>
    <col min="25" max="25" width="17.6640625" customWidth="1"/>
    <col min="26" max="26" width="9.5" customWidth="1"/>
    <col min="33" max="33" width="14.6640625" customWidth="1"/>
    <col min="34" max="34" width="9.33203125" customWidth="1"/>
  </cols>
  <sheetData>
    <row r="2" spans="3:23" x14ac:dyDescent="0.2">
      <c r="C2" t="s">
        <v>1</v>
      </c>
      <c r="D2" t="s">
        <v>15</v>
      </c>
      <c r="E2" t="s">
        <v>35</v>
      </c>
      <c r="F2" t="s">
        <v>29</v>
      </c>
      <c r="G2" t="s">
        <v>30</v>
      </c>
      <c r="H2" s="4" t="s">
        <v>31</v>
      </c>
      <c r="I2" s="4" t="s">
        <v>82</v>
      </c>
      <c r="J2" s="4" t="s">
        <v>83</v>
      </c>
      <c r="K2" s="4" t="s">
        <v>84</v>
      </c>
      <c r="L2" t="s">
        <v>12</v>
      </c>
      <c r="M2" t="s">
        <v>11</v>
      </c>
      <c r="N2" t="s">
        <v>5</v>
      </c>
      <c r="O2" t="s">
        <v>5</v>
      </c>
      <c r="P2" t="s">
        <v>7</v>
      </c>
      <c r="Q2" t="s">
        <v>8</v>
      </c>
      <c r="R2" t="s">
        <v>13</v>
      </c>
      <c r="S2" t="s">
        <v>45</v>
      </c>
      <c r="T2" t="s">
        <v>2</v>
      </c>
      <c r="U2" t="s">
        <v>10</v>
      </c>
    </row>
    <row r="3" spans="3:23" x14ac:dyDescent="0.2">
      <c r="C3" t="s">
        <v>22</v>
      </c>
      <c r="D3" t="s">
        <v>22</v>
      </c>
      <c r="E3" t="s">
        <v>22</v>
      </c>
      <c r="F3" t="s">
        <v>22</v>
      </c>
      <c r="G3" t="s">
        <v>22</v>
      </c>
      <c r="H3" s="4" t="s">
        <v>57</v>
      </c>
      <c r="I3" s="4" t="s">
        <v>87</v>
      </c>
      <c r="J3" s="4" t="s">
        <v>86</v>
      </c>
      <c r="K3" s="4" t="s">
        <v>85</v>
      </c>
      <c r="L3" t="s">
        <v>3</v>
      </c>
      <c r="M3" t="s">
        <v>4</v>
      </c>
      <c r="N3" t="s">
        <v>3</v>
      </c>
      <c r="O3" t="s">
        <v>6</v>
      </c>
      <c r="P3" t="s">
        <v>4</v>
      </c>
      <c r="Q3" t="s">
        <v>9</v>
      </c>
      <c r="R3" t="s">
        <v>0</v>
      </c>
      <c r="S3" t="s">
        <v>46</v>
      </c>
      <c r="T3" t="s">
        <v>14</v>
      </c>
      <c r="U3" t="s">
        <v>6</v>
      </c>
    </row>
    <row r="4" spans="3:23" x14ac:dyDescent="0.2">
      <c r="C4" s="10">
        <v>1</v>
      </c>
      <c r="D4" s="4" t="s">
        <v>51</v>
      </c>
      <c r="E4" s="4" t="s">
        <v>47</v>
      </c>
      <c r="F4" s="6">
        <v>45769</v>
      </c>
      <c r="G4" s="4" t="s">
        <v>42</v>
      </c>
      <c r="H4" s="4" t="s">
        <v>32</v>
      </c>
      <c r="I4" s="4" t="s">
        <v>88</v>
      </c>
      <c r="J4" s="4" t="s">
        <v>89</v>
      </c>
      <c r="K4" s="4" t="s">
        <v>90</v>
      </c>
      <c r="L4" s="7">
        <v>2.02</v>
      </c>
      <c r="M4" s="7">
        <v>2.8610000000000002</v>
      </c>
      <c r="N4" s="7">
        <v>-0.29999999999999982</v>
      </c>
      <c r="O4" s="7">
        <v>-12.931034482758614</v>
      </c>
      <c r="P4" s="7">
        <v>-0.74899999999999967</v>
      </c>
      <c r="Q4" s="7">
        <v>-20.747922437673122</v>
      </c>
      <c r="R4" s="7">
        <v>1819.25</v>
      </c>
      <c r="S4" s="7">
        <f>13^2</f>
        <v>169</v>
      </c>
      <c r="T4" s="7">
        <f>R4/S4</f>
        <v>10.764792899408285</v>
      </c>
      <c r="U4" s="7">
        <v>47.49</v>
      </c>
    </row>
    <row r="5" spans="3:23" x14ac:dyDescent="0.2">
      <c r="C5" s="10">
        <v>2</v>
      </c>
      <c r="D5" s="4" t="s">
        <v>51</v>
      </c>
      <c r="E5" s="4" t="s">
        <v>47</v>
      </c>
      <c r="F5" s="6">
        <v>45769</v>
      </c>
      <c r="G5" s="4" t="s">
        <v>42</v>
      </c>
      <c r="H5" s="4" t="s">
        <v>32</v>
      </c>
      <c r="I5" s="4" t="s">
        <v>88</v>
      </c>
      <c r="J5" s="4" t="s">
        <v>89</v>
      </c>
      <c r="K5" s="4" t="s">
        <v>90</v>
      </c>
      <c r="L5" s="7">
        <v>2.0299999999999998</v>
      </c>
      <c r="M5" s="7">
        <v>2.9009999999999998</v>
      </c>
      <c r="N5" s="7">
        <v>-0.32000000000000028</v>
      </c>
      <c r="O5" s="7">
        <v>-13.617021276595755</v>
      </c>
      <c r="P5" s="7">
        <v>-0.76900000000000013</v>
      </c>
      <c r="Q5" s="7">
        <v>-20.953678474114447</v>
      </c>
      <c r="R5" s="7">
        <v>1930.66</v>
      </c>
      <c r="S5" s="7">
        <f t="shared" ref="S5:S37" si="0">13^2</f>
        <v>169</v>
      </c>
      <c r="T5" s="7">
        <f t="shared" ref="T5:T50" si="1">R5/S5</f>
        <v>11.424023668639053</v>
      </c>
      <c r="U5" s="7">
        <v>47.05</v>
      </c>
    </row>
    <row r="6" spans="3:23" x14ac:dyDescent="0.2">
      <c r="C6" s="10">
        <v>3</v>
      </c>
      <c r="D6" s="4" t="s">
        <v>51</v>
      </c>
      <c r="E6" s="4" t="s">
        <v>47</v>
      </c>
      <c r="F6" s="6">
        <v>45769</v>
      </c>
      <c r="G6" s="4" t="s">
        <v>42</v>
      </c>
      <c r="H6" s="4" t="s">
        <v>32</v>
      </c>
      <c r="I6" s="4" t="s">
        <v>88</v>
      </c>
      <c r="J6" s="4" t="s">
        <v>89</v>
      </c>
      <c r="K6" s="4" t="s">
        <v>90</v>
      </c>
      <c r="L6" s="7">
        <v>2.0299999999999998</v>
      </c>
      <c r="M6" s="7">
        <v>2.8769999999999998</v>
      </c>
      <c r="N6" s="7">
        <v>-0.33000000000000007</v>
      </c>
      <c r="O6" s="7">
        <v>-13.983050847457632</v>
      </c>
      <c r="P6" s="7">
        <v>-0.75300000000000011</v>
      </c>
      <c r="Q6" s="7">
        <v>-20.743801652892564</v>
      </c>
      <c r="R6" s="7">
        <v>1650.06</v>
      </c>
      <c r="S6" s="7">
        <f t="shared" si="0"/>
        <v>169</v>
      </c>
      <c r="T6" s="7">
        <f t="shared" si="1"/>
        <v>9.7636686390532539</v>
      </c>
      <c r="U6" s="7">
        <v>47.38</v>
      </c>
    </row>
    <row r="7" spans="3:23" x14ac:dyDescent="0.2">
      <c r="C7" s="10">
        <v>4</v>
      </c>
      <c r="D7" s="4" t="s">
        <v>51</v>
      </c>
      <c r="E7" s="4" t="s">
        <v>47</v>
      </c>
      <c r="F7" s="6">
        <v>45769</v>
      </c>
      <c r="G7" s="4" t="s">
        <v>42</v>
      </c>
      <c r="H7" s="4" t="s">
        <v>32</v>
      </c>
      <c r="I7" s="4" t="s">
        <v>88</v>
      </c>
      <c r="J7" s="4" t="s">
        <v>89</v>
      </c>
      <c r="K7" s="4" t="s">
        <v>90</v>
      </c>
      <c r="L7" s="7">
        <v>2.0299999999999998</v>
      </c>
      <c r="M7" s="7">
        <v>2.8679999999999999</v>
      </c>
      <c r="N7" s="7">
        <v>-0.3400000000000003</v>
      </c>
      <c r="O7" s="7">
        <v>-14.345991561181446</v>
      </c>
      <c r="P7" s="7">
        <v>-0.75200000000000022</v>
      </c>
      <c r="Q7" s="7">
        <v>-20.773480662983431</v>
      </c>
      <c r="R7" s="8">
        <v>1592.2</v>
      </c>
      <c r="S7" s="7">
        <f t="shared" si="0"/>
        <v>169</v>
      </c>
      <c r="T7" s="7">
        <f t="shared" si="1"/>
        <v>9.4213017751479295</v>
      </c>
      <c r="U7" s="8">
        <v>47.61</v>
      </c>
      <c r="V7" s="2"/>
      <c r="W7" s="1"/>
    </row>
    <row r="8" spans="3:23" x14ac:dyDescent="0.2">
      <c r="C8" s="10">
        <v>5</v>
      </c>
      <c r="D8" s="4" t="s">
        <v>51</v>
      </c>
      <c r="E8" s="4" t="s">
        <v>47</v>
      </c>
      <c r="F8" s="6">
        <v>45769</v>
      </c>
      <c r="G8" s="4" t="s">
        <v>42</v>
      </c>
      <c r="H8" s="4" t="s">
        <v>32</v>
      </c>
      <c r="I8" s="4" t="s">
        <v>88</v>
      </c>
      <c r="J8" s="4" t="s">
        <v>89</v>
      </c>
      <c r="K8" s="4" t="s">
        <v>90</v>
      </c>
      <c r="L8" s="7">
        <v>2.0299999999999998</v>
      </c>
      <c r="M8" s="7">
        <v>2.8639999999999999</v>
      </c>
      <c r="N8" s="7">
        <v>-0.32000000000000028</v>
      </c>
      <c r="O8" s="7">
        <v>-13.617021276595755</v>
      </c>
      <c r="P8" s="7">
        <v>-0.75600000000000023</v>
      </c>
      <c r="Q8" s="7">
        <v>-20.883977900552491</v>
      </c>
      <c r="R8" s="7">
        <v>1570.2</v>
      </c>
      <c r="S8" s="7">
        <f t="shared" si="0"/>
        <v>169</v>
      </c>
      <c r="T8" s="7">
        <f t="shared" si="1"/>
        <v>9.2911242603550299</v>
      </c>
      <c r="U8" s="7">
        <v>47.84</v>
      </c>
    </row>
    <row r="9" spans="3:23" x14ac:dyDescent="0.2">
      <c r="C9" s="10">
        <v>6</v>
      </c>
      <c r="D9" s="4" t="s">
        <v>51</v>
      </c>
      <c r="E9" s="4" t="s">
        <v>47</v>
      </c>
      <c r="F9" s="6">
        <v>45769</v>
      </c>
      <c r="G9" s="4" t="s">
        <v>42</v>
      </c>
      <c r="H9" s="4" t="s">
        <v>32</v>
      </c>
      <c r="I9" s="4" t="s">
        <v>88</v>
      </c>
      <c r="J9" s="4" t="s">
        <v>89</v>
      </c>
      <c r="K9" s="4" t="s">
        <v>90</v>
      </c>
      <c r="L9" s="7">
        <v>2.0299999999999998</v>
      </c>
      <c r="M9" s="7">
        <v>2.9209999999999998</v>
      </c>
      <c r="N9" s="7">
        <v>-0.3400000000000003</v>
      </c>
      <c r="O9" s="7">
        <v>-14.345991561181446</v>
      </c>
      <c r="P9" s="7">
        <v>-0.75900000000000034</v>
      </c>
      <c r="Q9" s="7">
        <v>-20.625000000000007</v>
      </c>
      <c r="R9" s="7">
        <v>1886.41</v>
      </c>
      <c r="S9" s="7">
        <f t="shared" si="0"/>
        <v>169</v>
      </c>
      <c r="T9" s="7">
        <f t="shared" si="1"/>
        <v>11.162189349112426</v>
      </c>
      <c r="U9" s="7">
        <v>46.71</v>
      </c>
    </row>
    <row r="10" spans="3:23" x14ac:dyDescent="0.2">
      <c r="C10" s="10">
        <v>7</v>
      </c>
      <c r="D10" s="4" t="s">
        <v>51</v>
      </c>
      <c r="E10" s="4" t="s">
        <v>47</v>
      </c>
      <c r="F10" s="6">
        <v>45769</v>
      </c>
      <c r="G10" s="4" t="s">
        <v>42</v>
      </c>
      <c r="H10" s="4" t="s">
        <v>32</v>
      </c>
      <c r="I10" s="4" t="s">
        <v>88</v>
      </c>
      <c r="J10" s="4" t="s">
        <v>89</v>
      </c>
      <c r="K10" s="4" t="s">
        <v>90</v>
      </c>
      <c r="L10" s="7">
        <v>2.0299999999999998</v>
      </c>
      <c r="M10" s="7">
        <v>2.8889999999999998</v>
      </c>
      <c r="N10" s="7">
        <v>-0.39000000000000012</v>
      </c>
      <c r="O10" s="7">
        <v>-16.115702479338847</v>
      </c>
      <c r="P10" s="7">
        <v>-0.76100000000000012</v>
      </c>
      <c r="Q10" s="7">
        <v>-20.849315068493155</v>
      </c>
      <c r="R10" s="7">
        <v>1955.43</v>
      </c>
      <c r="S10" s="7">
        <f t="shared" si="0"/>
        <v>169</v>
      </c>
      <c r="T10" s="7">
        <f t="shared" si="1"/>
        <v>11.570591715976331</v>
      </c>
      <c r="U10" s="7">
        <v>47.26</v>
      </c>
    </row>
    <row r="11" spans="3:23" x14ac:dyDescent="0.2">
      <c r="C11" s="10">
        <v>8</v>
      </c>
      <c r="D11" s="4" t="s">
        <v>51</v>
      </c>
      <c r="E11" s="4" t="s">
        <v>47</v>
      </c>
      <c r="F11" s="6">
        <v>45769</v>
      </c>
      <c r="G11" s="4" t="s">
        <v>42</v>
      </c>
      <c r="H11" s="4" t="s">
        <v>32</v>
      </c>
      <c r="I11" s="4" t="s">
        <v>88</v>
      </c>
      <c r="J11" s="4" t="s">
        <v>89</v>
      </c>
      <c r="K11" s="4" t="s">
        <v>90</v>
      </c>
      <c r="L11" s="7">
        <v>2.0499999999999998</v>
      </c>
      <c r="M11" s="7">
        <v>2.9220000000000002</v>
      </c>
      <c r="N11" s="7">
        <v>-0.30000000000000027</v>
      </c>
      <c r="O11" s="7">
        <v>-12.765957446808521</v>
      </c>
      <c r="P11" s="7">
        <v>-0.76799999999999979</v>
      </c>
      <c r="Q11" s="7">
        <v>-20.813008130081297</v>
      </c>
      <c r="R11" s="7">
        <v>1976.02</v>
      </c>
      <c r="S11" s="7">
        <f t="shared" si="0"/>
        <v>169</v>
      </c>
      <c r="T11" s="7">
        <f t="shared" si="1"/>
        <v>11.692426035502958</v>
      </c>
      <c r="U11" s="7">
        <v>47.16</v>
      </c>
    </row>
    <row r="12" spans="3:23" x14ac:dyDescent="0.2">
      <c r="C12" s="10">
        <v>9</v>
      </c>
      <c r="D12" s="4" t="s">
        <v>51</v>
      </c>
      <c r="E12" s="4" t="s">
        <v>47</v>
      </c>
      <c r="F12" s="6">
        <v>45769</v>
      </c>
      <c r="G12" s="4" t="s">
        <v>42</v>
      </c>
      <c r="H12" s="4" t="s">
        <v>32</v>
      </c>
      <c r="I12" s="4" t="s">
        <v>88</v>
      </c>
      <c r="J12" s="4" t="s">
        <v>89</v>
      </c>
      <c r="K12" s="4" t="s">
        <v>90</v>
      </c>
      <c r="L12" s="7">
        <v>2.04</v>
      </c>
      <c r="M12" s="7">
        <v>2.8969999999999998</v>
      </c>
      <c r="N12" s="7">
        <v>-0.31999999999999984</v>
      </c>
      <c r="O12" s="7">
        <v>-13.559322033898299</v>
      </c>
      <c r="P12" s="7">
        <v>-0.76300000000000034</v>
      </c>
      <c r="Q12" s="7">
        <v>-20.846994535519134</v>
      </c>
      <c r="R12" s="7">
        <v>1941.63</v>
      </c>
      <c r="S12" s="7">
        <f t="shared" si="0"/>
        <v>169</v>
      </c>
      <c r="T12" s="7">
        <f t="shared" si="1"/>
        <v>11.488934911242604</v>
      </c>
      <c r="U12" s="7">
        <v>47.53</v>
      </c>
    </row>
    <row r="13" spans="3:23" x14ac:dyDescent="0.2">
      <c r="C13" s="10">
        <v>10</v>
      </c>
      <c r="D13" s="4" t="s">
        <v>51</v>
      </c>
      <c r="E13" s="4" t="s">
        <v>47</v>
      </c>
      <c r="F13" s="6">
        <v>45769</v>
      </c>
      <c r="G13" s="4" t="s">
        <v>42</v>
      </c>
      <c r="H13" s="4" t="s">
        <v>32</v>
      </c>
      <c r="I13" s="4" t="s">
        <v>88</v>
      </c>
      <c r="J13" s="4" t="s">
        <v>89</v>
      </c>
      <c r="K13" s="4" t="s">
        <v>90</v>
      </c>
      <c r="L13" s="7">
        <v>2.0499999999999998</v>
      </c>
      <c r="M13" s="7">
        <v>2.9079999999999999</v>
      </c>
      <c r="N13" s="7">
        <v>-0.33000000000000007</v>
      </c>
      <c r="O13" s="7">
        <v>-13.865546218487399</v>
      </c>
      <c r="P13" s="7">
        <v>-0.77200000000000024</v>
      </c>
      <c r="Q13" s="7">
        <v>-20.978260869565226</v>
      </c>
      <c r="R13" s="7">
        <v>2012.43</v>
      </c>
      <c r="S13" s="7">
        <f t="shared" si="0"/>
        <v>169</v>
      </c>
      <c r="T13" s="7">
        <f t="shared" si="1"/>
        <v>11.907869822485207</v>
      </c>
      <c r="U13" s="7">
        <v>47.56</v>
      </c>
    </row>
    <row r="14" spans="3:23" x14ac:dyDescent="0.2">
      <c r="C14" s="10">
        <v>11</v>
      </c>
      <c r="D14" s="4" t="s">
        <v>53</v>
      </c>
      <c r="E14" s="4" t="s">
        <v>52</v>
      </c>
      <c r="F14" s="6">
        <v>45757</v>
      </c>
      <c r="G14" s="4" t="s">
        <v>42</v>
      </c>
      <c r="H14" s="4" t="s">
        <v>32</v>
      </c>
      <c r="I14" s="4" t="s">
        <v>88</v>
      </c>
      <c r="J14" s="4" t="s">
        <v>89</v>
      </c>
      <c r="K14" s="4" t="s">
        <v>90</v>
      </c>
      <c r="L14" s="7">
        <v>1.51</v>
      </c>
      <c r="M14" s="7">
        <v>2.1739999999999999</v>
      </c>
      <c r="N14" s="7">
        <v>-0.19999999999999996</v>
      </c>
      <c r="O14" s="7">
        <v>-11.695906432748536</v>
      </c>
      <c r="P14" s="7">
        <v>-0.58700000000000019</v>
      </c>
      <c r="Q14" s="7">
        <v>-21.260412893879035</v>
      </c>
      <c r="R14" s="7">
        <v>1754.3</v>
      </c>
      <c r="S14" s="7">
        <f t="shared" si="0"/>
        <v>169</v>
      </c>
      <c r="T14" s="7">
        <f t="shared" si="1"/>
        <v>10.380473372781065</v>
      </c>
      <c r="U14" s="7">
        <v>46.72</v>
      </c>
    </row>
    <row r="15" spans="3:23" x14ac:dyDescent="0.2">
      <c r="C15" s="10">
        <v>12</v>
      </c>
      <c r="D15" s="4" t="s">
        <v>53</v>
      </c>
      <c r="E15" s="4" t="s">
        <v>52</v>
      </c>
      <c r="F15" s="6">
        <v>45757</v>
      </c>
      <c r="G15" s="4" t="s">
        <v>42</v>
      </c>
      <c r="H15" s="4" t="s">
        <v>32</v>
      </c>
      <c r="I15" s="4" t="s">
        <v>88</v>
      </c>
      <c r="J15" s="4" t="s">
        <v>89</v>
      </c>
      <c r="K15" s="4" t="s">
        <v>90</v>
      </c>
      <c r="L15" s="7">
        <v>1.55</v>
      </c>
      <c r="M15" s="7">
        <v>2.198</v>
      </c>
      <c r="N15" s="7">
        <v>-0.20999999999999996</v>
      </c>
      <c r="O15" s="7">
        <v>-11.93181818181818</v>
      </c>
      <c r="P15" s="7">
        <v>-0.58000000000000007</v>
      </c>
      <c r="Q15" s="7">
        <v>-20.87832973362131</v>
      </c>
      <c r="R15" s="7">
        <v>1219.3</v>
      </c>
      <c r="S15" s="7">
        <f t="shared" si="0"/>
        <v>169</v>
      </c>
      <c r="T15" s="7">
        <f t="shared" si="1"/>
        <v>7.2147928994082839</v>
      </c>
      <c r="U15" s="7">
        <v>47.5</v>
      </c>
    </row>
    <row r="16" spans="3:23" x14ac:dyDescent="0.2">
      <c r="C16" s="10">
        <v>13</v>
      </c>
      <c r="D16" s="4" t="s">
        <v>53</v>
      </c>
      <c r="E16" s="4" t="s">
        <v>52</v>
      </c>
      <c r="F16" s="6">
        <v>45757</v>
      </c>
      <c r="G16" s="4" t="s">
        <v>42</v>
      </c>
      <c r="H16" s="4" t="s">
        <v>32</v>
      </c>
      <c r="I16" s="4" t="s">
        <v>88</v>
      </c>
      <c r="J16" s="4" t="s">
        <v>89</v>
      </c>
      <c r="K16" s="4" t="s">
        <v>90</v>
      </c>
      <c r="L16" s="7">
        <v>1.64</v>
      </c>
      <c r="M16" s="7">
        <v>2.2509999999999999</v>
      </c>
      <c r="N16" s="7">
        <v>-8.0000000000000071E-2</v>
      </c>
      <c r="O16" s="7">
        <v>-4.6511627906976782</v>
      </c>
      <c r="P16" s="7">
        <v>-0.5900000000000003</v>
      </c>
      <c r="Q16" s="7">
        <v>-20.767335445265761</v>
      </c>
      <c r="R16" s="7">
        <v>1446.9</v>
      </c>
      <c r="S16" s="7">
        <f t="shared" si="0"/>
        <v>169</v>
      </c>
      <c r="T16" s="7">
        <f t="shared" si="1"/>
        <v>8.5615384615384613</v>
      </c>
      <c r="U16" s="7">
        <v>49.12</v>
      </c>
    </row>
    <row r="17" spans="3:23" x14ac:dyDescent="0.2">
      <c r="C17" s="10">
        <v>14</v>
      </c>
      <c r="D17" s="4" t="s">
        <v>53</v>
      </c>
      <c r="E17" s="4" t="s">
        <v>52</v>
      </c>
      <c r="F17" s="6">
        <v>45757</v>
      </c>
      <c r="G17" s="4" t="s">
        <v>42</v>
      </c>
      <c r="H17" s="4" t="s">
        <v>32</v>
      </c>
      <c r="I17" s="4" t="s">
        <v>88</v>
      </c>
      <c r="J17" s="4" t="s">
        <v>89</v>
      </c>
      <c r="K17" s="4" t="s">
        <v>90</v>
      </c>
      <c r="L17" s="7">
        <v>1.33</v>
      </c>
      <c r="M17" s="7">
        <v>2.1280000000000001</v>
      </c>
      <c r="N17" s="7">
        <v>-0.22999999999999998</v>
      </c>
      <c r="O17" s="7">
        <v>-14.743589743589741</v>
      </c>
      <c r="P17" s="7">
        <v>-0.56699999999999973</v>
      </c>
      <c r="Q17" s="7">
        <v>-21.03896103896103</v>
      </c>
      <c r="R17" s="8">
        <v>2332.87</v>
      </c>
      <c r="S17" s="7">
        <f t="shared" si="0"/>
        <v>169</v>
      </c>
      <c r="T17" s="7">
        <f t="shared" si="1"/>
        <v>13.80396449704142</v>
      </c>
      <c r="U17" s="8">
        <v>40.9</v>
      </c>
      <c r="V17" s="2"/>
      <c r="W17" s="1"/>
    </row>
    <row r="18" spans="3:23" x14ac:dyDescent="0.2">
      <c r="C18" s="10">
        <v>15</v>
      </c>
      <c r="D18" s="4" t="s">
        <v>53</v>
      </c>
      <c r="E18" s="4" t="s">
        <v>52</v>
      </c>
      <c r="F18" s="6">
        <v>45757</v>
      </c>
      <c r="G18" s="4" t="s">
        <v>42</v>
      </c>
      <c r="H18" s="4" t="s">
        <v>32</v>
      </c>
      <c r="I18" s="4" t="s">
        <v>88</v>
      </c>
      <c r="J18" s="4" t="s">
        <v>89</v>
      </c>
      <c r="K18" s="4" t="s">
        <v>90</v>
      </c>
      <c r="L18" s="7">
        <v>1.55</v>
      </c>
      <c r="M18" s="7">
        <v>2.234</v>
      </c>
      <c r="N18" s="7">
        <v>-0.17999999999999994</v>
      </c>
      <c r="O18" s="7">
        <v>-10.404624277456644</v>
      </c>
      <c r="P18" s="7">
        <v>-0.60700000000000021</v>
      </c>
      <c r="Q18" s="7">
        <v>-21.3657162970785</v>
      </c>
      <c r="R18" s="7">
        <v>1063.94</v>
      </c>
      <c r="S18" s="7">
        <f t="shared" si="0"/>
        <v>169</v>
      </c>
      <c r="T18" s="7">
        <f t="shared" si="1"/>
        <v>6.2955029585798821</v>
      </c>
      <c r="U18" s="7">
        <v>46.76</v>
      </c>
    </row>
    <row r="19" spans="3:23" x14ac:dyDescent="0.2">
      <c r="C19" s="10">
        <v>16</v>
      </c>
      <c r="D19" s="4" t="s">
        <v>53</v>
      </c>
      <c r="E19" s="4" t="s">
        <v>52</v>
      </c>
      <c r="F19" s="6">
        <v>45757</v>
      </c>
      <c r="G19" s="4" t="s">
        <v>42</v>
      </c>
      <c r="H19" s="4" t="s">
        <v>32</v>
      </c>
      <c r="I19" s="4" t="s">
        <v>88</v>
      </c>
      <c r="J19" s="4" t="s">
        <v>89</v>
      </c>
      <c r="K19" s="4" t="s">
        <v>90</v>
      </c>
      <c r="L19" s="7">
        <v>1.42</v>
      </c>
      <c r="M19" s="7">
        <v>2.1930000000000001</v>
      </c>
      <c r="N19" s="7">
        <v>-0.24</v>
      </c>
      <c r="O19" s="7">
        <v>-14.457831325301203</v>
      </c>
      <c r="P19" s="7">
        <v>-0.58999999999999986</v>
      </c>
      <c r="Q19" s="7">
        <v>-21.200143729787992</v>
      </c>
      <c r="R19" s="7">
        <v>1896.2</v>
      </c>
      <c r="S19" s="7">
        <f t="shared" si="0"/>
        <v>169</v>
      </c>
      <c r="T19" s="7">
        <f t="shared" si="1"/>
        <v>11.220118343195267</v>
      </c>
      <c r="U19" s="7">
        <v>42.8</v>
      </c>
    </row>
    <row r="20" spans="3:23" x14ac:dyDescent="0.2">
      <c r="C20" s="10">
        <v>17</v>
      </c>
      <c r="D20" s="4" t="s">
        <v>55</v>
      </c>
      <c r="E20" s="4" t="s">
        <v>52</v>
      </c>
      <c r="F20" s="6">
        <v>45757</v>
      </c>
      <c r="G20" s="4" t="s">
        <v>42</v>
      </c>
      <c r="H20" s="4" t="s">
        <v>32</v>
      </c>
      <c r="I20" s="4" t="s">
        <v>88</v>
      </c>
      <c r="J20" s="4" t="s">
        <v>89</v>
      </c>
      <c r="K20" s="4" t="s">
        <v>90</v>
      </c>
      <c r="L20" s="7">
        <v>1.34</v>
      </c>
      <c r="M20" s="7">
        <v>2.1349999999999998</v>
      </c>
      <c r="N20" s="7">
        <v>-0.20999999999999996</v>
      </c>
      <c r="O20" s="7">
        <v>-7.7348066298342539</v>
      </c>
      <c r="P20" s="7">
        <v>-0.58000000000000007</v>
      </c>
      <c r="Q20" s="7">
        <v>-21.362799263351754</v>
      </c>
      <c r="R20" s="7">
        <v>2378.6</v>
      </c>
      <c r="S20" s="7">
        <f t="shared" si="0"/>
        <v>169</v>
      </c>
      <c r="T20" s="7">
        <f t="shared" si="1"/>
        <v>14.07455621301775</v>
      </c>
      <c r="U20" s="7">
        <v>41.08</v>
      </c>
    </row>
    <row r="21" spans="3:23" x14ac:dyDescent="0.2">
      <c r="C21" s="10">
        <v>18</v>
      </c>
      <c r="D21" s="4" t="s">
        <v>55</v>
      </c>
      <c r="E21" s="4" t="s">
        <v>52</v>
      </c>
      <c r="F21" s="6">
        <v>45757</v>
      </c>
      <c r="G21" s="4" t="s">
        <v>42</v>
      </c>
      <c r="H21" s="4" t="s">
        <v>32</v>
      </c>
      <c r="I21" s="4" t="s">
        <v>88</v>
      </c>
      <c r="J21" s="4" t="s">
        <v>89</v>
      </c>
      <c r="K21" s="4" t="s">
        <v>90</v>
      </c>
      <c r="L21" s="7">
        <v>1.35</v>
      </c>
      <c r="M21" s="7">
        <v>2.145</v>
      </c>
      <c r="N21" s="7">
        <v>-0.12999999999999989</v>
      </c>
      <c r="O21" s="7">
        <v>-4.7811695476278002</v>
      </c>
      <c r="P21" s="7">
        <v>-0.57399999999999984</v>
      </c>
      <c r="Q21" s="7">
        <v>-21.110702464141223</v>
      </c>
      <c r="R21" s="7">
        <v>2856.4</v>
      </c>
      <c r="S21" s="7">
        <f t="shared" si="0"/>
        <v>169</v>
      </c>
      <c r="T21" s="7">
        <f t="shared" si="1"/>
        <v>16.901775147928994</v>
      </c>
      <c r="U21" s="7">
        <v>41.05</v>
      </c>
    </row>
    <row r="22" spans="3:23" x14ac:dyDescent="0.2">
      <c r="C22" s="10">
        <v>19</v>
      </c>
      <c r="D22" s="4" t="s">
        <v>55</v>
      </c>
      <c r="E22" s="4" t="s">
        <v>52</v>
      </c>
      <c r="F22" s="6">
        <v>45757</v>
      </c>
      <c r="G22" s="4" t="s">
        <v>42</v>
      </c>
      <c r="H22" s="4" t="s">
        <v>32</v>
      </c>
      <c r="I22" s="4" t="s">
        <v>88</v>
      </c>
      <c r="J22" s="4" t="s">
        <v>89</v>
      </c>
      <c r="K22" s="4" t="s">
        <v>90</v>
      </c>
      <c r="L22" s="7">
        <v>1.4</v>
      </c>
      <c r="M22" s="7">
        <v>2.198</v>
      </c>
      <c r="N22" s="7">
        <v>-0.19000000000000017</v>
      </c>
      <c r="O22" s="7">
        <v>-6.8051575931232149</v>
      </c>
      <c r="P22" s="7">
        <v>-0.59399999999999986</v>
      </c>
      <c r="Q22" s="7">
        <v>-21.275071633237818</v>
      </c>
      <c r="R22" s="7">
        <v>2160.8000000000002</v>
      </c>
      <c r="S22" s="7">
        <f t="shared" si="0"/>
        <v>169</v>
      </c>
      <c r="T22" s="7">
        <f t="shared" si="1"/>
        <v>12.785798816568049</v>
      </c>
      <c r="U22" s="7">
        <v>41.78</v>
      </c>
    </row>
    <row r="23" spans="3:23" x14ac:dyDescent="0.2">
      <c r="C23" s="10">
        <v>20</v>
      </c>
      <c r="D23" s="4" t="s">
        <v>55</v>
      </c>
      <c r="E23" s="4" t="s">
        <v>52</v>
      </c>
      <c r="F23" s="6">
        <v>45757</v>
      </c>
      <c r="G23" s="4" t="s">
        <v>42</v>
      </c>
      <c r="H23" s="4" t="s">
        <v>32</v>
      </c>
      <c r="I23" s="4" t="s">
        <v>88</v>
      </c>
      <c r="J23" s="4" t="s">
        <v>89</v>
      </c>
      <c r="K23" s="4" t="s">
        <v>90</v>
      </c>
      <c r="L23" s="7">
        <v>1.42</v>
      </c>
      <c r="M23" s="7">
        <v>2.2519999999999998</v>
      </c>
      <c r="N23" s="7">
        <v>-1.0000000000000009E-2</v>
      </c>
      <c r="O23" s="7">
        <v>-0.35026269702276736</v>
      </c>
      <c r="P23" s="7">
        <v>-0.6030000000000002</v>
      </c>
      <c r="Q23" s="7">
        <v>-21.120840630472863</v>
      </c>
      <c r="R23" s="7">
        <v>3143.38</v>
      </c>
      <c r="S23" s="7">
        <f t="shared" si="0"/>
        <v>169</v>
      </c>
      <c r="T23" s="7">
        <f t="shared" si="1"/>
        <v>18.599881656804733</v>
      </c>
      <c r="U23" s="7">
        <v>41.42</v>
      </c>
    </row>
    <row r="24" spans="3:23" x14ac:dyDescent="0.2">
      <c r="C24" s="10">
        <v>21</v>
      </c>
      <c r="D24" s="4" t="s">
        <v>55</v>
      </c>
      <c r="E24" s="4" t="s">
        <v>52</v>
      </c>
      <c r="F24" s="6">
        <v>45757</v>
      </c>
      <c r="G24" s="4" t="s">
        <v>42</v>
      </c>
      <c r="H24" s="4" t="s">
        <v>32</v>
      </c>
      <c r="I24" s="4" t="s">
        <v>88</v>
      </c>
      <c r="J24" s="4" t="s">
        <v>89</v>
      </c>
      <c r="K24" s="4" t="s">
        <v>90</v>
      </c>
      <c r="L24" s="7">
        <v>1.49</v>
      </c>
      <c r="M24" s="7">
        <v>2.27</v>
      </c>
      <c r="N24" s="7">
        <v>-0.12000000000000011</v>
      </c>
      <c r="O24" s="7">
        <v>-4.1841004184100461</v>
      </c>
      <c r="P24" s="7">
        <v>-0.59799999999999986</v>
      </c>
      <c r="Q24" s="7">
        <v>-20.850767085076704</v>
      </c>
      <c r="R24" s="7">
        <v>2342.41</v>
      </c>
      <c r="S24" s="7">
        <f t="shared" si="0"/>
        <v>169</v>
      </c>
      <c r="T24" s="7">
        <f t="shared" si="1"/>
        <v>13.860414201183431</v>
      </c>
      <c r="U24" s="7">
        <v>43.45</v>
      </c>
    </row>
    <row r="25" spans="3:23" x14ac:dyDescent="0.2">
      <c r="C25" s="10">
        <v>22</v>
      </c>
      <c r="D25" s="4" t="s">
        <v>55</v>
      </c>
      <c r="E25" s="4" t="s">
        <v>52</v>
      </c>
      <c r="F25" s="6">
        <v>45757</v>
      </c>
      <c r="G25" s="4" t="s">
        <v>42</v>
      </c>
      <c r="H25" s="4" t="s">
        <v>32</v>
      </c>
      <c r="I25" s="4" t="s">
        <v>88</v>
      </c>
      <c r="J25" s="4" t="s">
        <v>89</v>
      </c>
      <c r="K25" s="4" t="s">
        <v>90</v>
      </c>
      <c r="L25" s="7">
        <v>1.45</v>
      </c>
      <c r="M25" s="7">
        <v>2.2599999999999998</v>
      </c>
      <c r="N25" s="7">
        <v>-0.16000000000000014</v>
      </c>
      <c r="O25" s="7">
        <v>-5.5865921787709549</v>
      </c>
      <c r="P25" s="7">
        <v>-0.60400000000000009</v>
      </c>
      <c r="Q25" s="7">
        <v>-21.08938547486034</v>
      </c>
      <c r="R25" s="8">
        <v>2275.17</v>
      </c>
      <c r="S25" s="7">
        <f t="shared" si="0"/>
        <v>169</v>
      </c>
      <c r="T25" s="7">
        <f t="shared" si="1"/>
        <v>13.462544378698226</v>
      </c>
      <c r="U25" s="8">
        <v>42.39</v>
      </c>
      <c r="V25" s="2"/>
      <c r="W25" s="1"/>
    </row>
    <row r="26" spans="3:23" x14ac:dyDescent="0.2">
      <c r="C26" s="10">
        <v>23</v>
      </c>
      <c r="D26" s="4" t="s">
        <v>54</v>
      </c>
      <c r="E26" s="4" t="s">
        <v>52</v>
      </c>
      <c r="F26" s="6">
        <v>45757</v>
      </c>
      <c r="G26" s="4" t="s">
        <v>42</v>
      </c>
      <c r="H26" s="4" t="s">
        <v>32</v>
      </c>
      <c r="I26" s="4" t="s">
        <v>88</v>
      </c>
      <c r="J26" s="4" t="s">
        <v>89</v>
      </c>
      <c r="K26" s="4" t="s">
        <v>90</v>
      </c>
      <c r="L26" s="7">
        <v>1.3</v>
      </c>
      <c r="M26" s="7">
        <v>2.0979999999999999</v>
      </c>
      <c r="N26" s="7">
        <v>-0.12999999999999989</v>
      </c>
      <c r="O26" s="7">
        <v>-4.9056603773584868</v>
      </c>
      <c r="P26" s="7">
        <v>-0.55200000000000005</v>
      </c>
      <c r="Q26" s="7">
        <v>-20.830188679245285</v>
      </c>
      <c r="R26" s="7">
        <v>3976.3</v>
      </c>
      <c r="S26" s="7">
        <f t="shared" si="0"/>
        <v>169</v>
      </c>
      <c r="T26" s="7">
        <f t="shared" si="1"/>
        <v>23.528402366863908</v>
      </c>
      <c r="U26" s="7">
        <v>40.090000000000003</v>
      </c>
    </row>
    <row r="27" spans="3:23" x14ac:dyDescent="0.2">
      <c r="C27" s="10">
        <v>24</v>
      </c>
      <c r="D27" s="4" t="s">
        <v>54</v>
      </c>
      <c r="E27" s="4" t="s">
        <v>52</v>
      </c>
      <c r="F27" s="6">
        <v>45757</v>
      </c>
      <c r="G27" s="4" t="s">
        <v>42</v>
      </c>
      <c r="H27" s="4" t="s">
        <v>32</v>
      </c>
      <c r="I27" s="4" t="s">
        <v>88</v>
      </c>
      <c r="J27" s="4" t="s">
        <v>89</v>
      </c>
      <c r="K27" s="4" t="s">
        <v>90</v>
      </c>
      <c r="L27" s="7">
        <v>1.38</v>
      </c>
      <c r="M27" s="7">
        <v>2.165</v>
      </c>
      <c r="N27" s="7">
        <v>-0.14000000000000012</v>
      </c>
      <c r="O27" s="7">
        <v>-5.0946142649199455</v>
      </c>
      <c r="P27" s="7">
        <v>-0.58300000000000018</v>
      </c>
      <c r="Q27" s="7">
        <v>-21.215429403202336</v>
      </c>
      <c r="R27" s="7">
        <v>2550.6</v>
      </c>
      <c r="S27" s="7">
        <f t="shared" si="0"/>
        <v>169</v>
      </c>
      <c r="T27" s="7">
        <f t="shared" si="1"/>
        <v>15.092307692307692</v>
      </c>
      <c r="U27" s="7">
        <v>41.83</v>
      </c>
    </row>
    <row r="28" spans="3:23" x14ac:dyDescent="0.2">
      <c r="C28" s="10">
        <v>25</v>
      </c>
      <c r="D28" s="4" t="s">
        <v>54</v>
      </c>
      <c r="E28" s="4" t="s">
        <v>52</v>
      </c>
      <c r="F28" s="6">
        <v>45757</v>
      </c>
      <c r="G28" s="4" t="s">
        <v>42</v>
      </c>
      <c r="H28" s="4" t="s">
        <v>32</v>
      </c>
      <c r="I28" s="4" t="s">
        <v>88</v>
      </c>
      <c r="J28" s="4" t="s">
        <v>89</v>
      </c>
      <c r="K28" s="4" t="s">
        <v>90</v>
      </c>
      <c r="L28" s="7">
        <v>1.42</v>
      </c>
      <c r="M28" s="7">
        <v>2.141</v>
      </c>
      <c r="N28" s="7">
        <v>-9.000000000000008E-2</v>
      </c>
      <c r="O28" s="7">
        <v>-3.3308660251665465</v>
      </c>
      <c r="P28" s="7">
        <v>-0.56099999999999994</v>
      </c>
      <c r="Q28" s="7">
        <v>-20.762398223538117</v>
      </c>
      <c r="R28" s="7">
        <v>2493.6999999999998</v>
      </c>
      <c r="S28" s="7">
        <f t="shared" si="0"/>
        <v>169</v>
      </c>
      <c r="T28" s="7">
        <f t="shared" si="1"/>
        <v>14.755621301775147</v>
      </c>
      <c r="U28" s="7">
        <v>44.13</v>
      </c>
    </row>
    <row r="29" spans="3:23" x14ac:dyDescent="0.2">
      <c r="C29" s="10">
        <v>26</v>
      </c>
      <c r="D29" s="4" t="s">
        <v>54</v>
      </c>
      <c r="E29" s="4" t="s">
        <v>52</v>
      </c>
      <c r="F29" s="6">
        <v>45757</v>
      </c>
      <c r="G29" s="4" t="s">
        <v>42</v>
      </c>
      <c r="H29" s="4" t="s">
        <v>32</v>
      </c>
      <c r="I29" s="4" t="s">
        <v>88</v>
      </c>
      <c r="J29" s="4" t="s">
        <v>89</v>
      </c>
      <c r="K29" s="4" t="s">
        <v>90</v>
      </c>
      <c r="L29" s="7">
        <v>1.4</v>
      </c>
      <c r="M29" s="7">
        <v>2.1789999999999998</v>
      </c>
      <c r="N29" s="7">
        <v>-0.13000000000000012</v>
      </c>
      <c r="O29" s="7">
        <v>-4.7221213221939742</v>
      </c>
      <c r="P29" s="7">
        <v>-0.57400000000000029</v>
      </c>
      <c r="Q29" s="7">
        <v>-20.849981837994925</v>
      </c>
      <c r="R29" s="7">
        <v>2302.42</v>
      </c>
      <c r="S29" s="7">
        <f t="shared" si="0"/>
        <v>169</v>
      </c>
      <c r="T29" s="7">
        <f t="shared" si="1"/>
        <v>13.623786982248522</v>
      </c>
      <c r="U29" s="7">
        <v>42.2</v>
      </c>
    </row>
    <row r="30" spans="3:23" x14ac:dyDescent="0.2">
      <c r="C30" s="10">
        <v>27</v>
      </c>
      <c r="D30" s="4" t="s">
        <v>54</v>
      </c>
      <c r="E30" s="4" t="s">
        <v>52</v>
      </c>
      <c r="F30" s="6">
        <v>45757</v>
      </c>
      <c r="G30" s="4" t="s">
        <v>42</v>
      </c>
      <c r="H30" s="4" t="s">
        <v>32</v>
      </c>
      <c r="I30" s="4" t="s">
        <v>88</v>
      </c>
      <c r="J30" s="4" t="s">
        <v>89</v>
      </c>
      <c r="K30" s="4" t="s">
        <v>90</v>
      </c>
      <c r="L30" s="7">
        <v>1.39</v>
      </c>
      <c r="M30" s="7">
        <v>2.1720000000000002</v>
      </c>
      <c r="N30" s="7">
        <v>-9.000000000000008E-2</v>
      </c>
      <c r="O30" s="7">
        <v>-3.2703488372093052</v>
      </c>
      <c r="P30" s="7">
        <v>-0.57999999999999963</v>
      </c>
      <c r="Q30" s="7">
        <v>-21.075581395348824</v>
      </c>
      <c r="R30" s="7">
        <v>2798.67</v>
      </c>
      <c r="S30" s="7">
        <f t="shared" si="0"/>
        <v>169</v>
      </c>
      <c r="T30" s="7">
        <f t="shared" si="1"/>
        <v>16.560177514792901</v>
      </c>
      <c r="U30" s="7">
        <v>41.98</v>
      </c>
    </row>
    <row r="31" spans="3:23" x14ac:dyDescent="0.2">
      <c r="C31" s="10">
        <v>28</v>
      </c>
      <c r="D31" s="4" t="s">
        <v>54</v>
      </c>
      <c r="E31" s="4" t="s">
        <v>52</v>
      </c>
      <c r="F31" s="6">
        <v>45757</v>
      </c>
      <c r="G31" s="4" t="s">
        <v>42</v>
      </c>
      <c r="H31" s="4" t="s">
        <v>32</v>
      </c>
      <c r="I31" s="4" t="s">
        <v>88</v>
      </c>
      <c r="J31" s="4" t="s">
        <v>89</v>
      </c>
      <c r="K31" s="4" t="s">
        <v>90</v>
      </c>
      <c r="L31" s="7">
        <v>1.43</v>
      </c>
      <c r="M31" s="7">
        <v>2.2160000000000002</v>
      </c>
      <c r="N31" s="7">
        <v>-6.0000000000000053E-2</v>
      </c>
      <c r="O31" s="7">
        <v>-2.1359914560341777</v>
      </c>
      <c r="P31" s="7">
        <v>-0.59299999999999997</v>
      </c>
      <c r="Q31" s="7">
        <v>-21.11071555713777</v>
      </c>
      <c r="R31" s="7">
        <v>2713.56</v>
      </c>
      <c r="S31" s="7">
        <f t="shared" si="0"/>
        <v>169</v>
      </c>
      <c r="T31" s="7">
        <f t="shared" si="1"/>
        <v>16.056568047337279</v>
      </c>
      <c r="U31" s="7">
        <v>42.68</v>
      </c>
    </row>
    <row r="32" spans="3:23" x14ac:dyDescent="0.2">
      <c r="C32" s="10">
        <v>29</v>
      </c>
      <c r="D32" s="4" t="s">
        <v>56</v>
      </c>
      <c r="E32" s="4" t="s">
        <v>52</v>
      </c>
      <c r="F32" s="6">
        <v>45757</v>
      </c>
      <c r="G32" s="4" t="s">
        <v>42</v>
      </c>
      <c r="H32" s="4" t="s">
        <v>32</v>
      </c>
      <c r="I32" s="4" t="s">
        <v>88</v>
      </c>
      <c r="J32" s="4" t="s">
        <v>89</v>
      </c>
      <c r="K32" s="4" t="s">
        <v>90</v>
      </c>
      <c r="L32" s="7">
        <v>1.3</v>
      </c>
      <c r="M32" s="7">
        <v>2.0390000000000001</v>
      </c>
      <c r="N32" s="7">
        <v>-6.0000000000000053E-2</v>
      </c>
      <c r="O32" s="7">
        <v>-4.4117647058823568</v>
      </c>
      <c r="P32" s="7">
        <v>-0.55099999999999971</v>
      </c>
      <c r="Q32" s="7">
        <v>-21.274131274131264</v>
      </c>
      <c r="R32" s="8">
        <v>3603.7</v>
      </c>
      <c r="S32" s="7">
        <f t="shared" si="0"/>
        <v>169</v>
      </c>
      <c r="T32" s="7">
        <f t="shared" si="1"/>
        <v>21.323668639053253</v>
      </c>
      <c r="U32" s="8">
        <v>41.74</v>
      </c>
      <c r="V32" s="2"/>
      <c r="W32" s="1"/>
    </row>
    <row r="33" spans="3:23" x14ac:dyDescent="0.2">
      <c r="C33" s="10">
        <v>30</v>
      </c>
      <c r="D33" s="4" t="s">
        <v>56</v>
      </c>
      <c r="E33" s="4" t="s">
        <v>52</v>
      </c>
      <c r="F33" s="6">
        <v>45757</v>
      </c>
      <c r="G33" s="4" t="s">
        <v>42</v>
      </c>
      <c r="H33" s="4" t="s">
        <v>32</v>
      </c>
      <c r="I33" s="4" t="s">
        <v>88</v>
      </c>
      <c r="J33" s="4" t="s">
        <v>89</v>
      </c>
      <c r="K33" s="4" t="s">
        <v>90</v>
      </c>
      <c r="L33" s="7">
        <v>1.35</v>
      </c>
      <c r="M33" s="7">
        <v>2.14</v>
      </c>
      <c r="N33" s="7">
        <v>-3.9999999999999813E-2</v>
      </c>
      <c r="O33" s="7">
        <v>-2.8776978417266053</v>
      </c>
      <c r="P33" s="7">
        <v>-0.57299999999999995</v>
      </c>
      <c r="Q33" s="7">
        <v>-21.120530777736821</v>
      </c>
      <c r="R33" s="7">
        <v>2827.4</v>
      </c>
      <c r="S33" s="7">
        <f t="shared" si="0"/>
        <v>169</v>
      </c>
      <c r="T33" s="7">
        <f t="shared" si="1"/>
        <v>16.730177514792899</v>
      </c>
      <c r="U33" s="7">
        <v>41.49</v>
      </c>
    </row>
    <row r="34" spans="3:23" x14ac:dyDescent="0.2">
      <c r="C34" s="10">
        <v>31</v>
      </c>
      <c r="D34" s="4" t="s">
        <v>56</v>
      </c>
      <c r="E34" s="4" t="s">
        <v>52</v>
      </c>
      <c r="F34" s="6">
        <v>45757</v>
      </c>
      <c r="G34" s="4" t="s">
        <v>42</v>
      </c>
      <c r="H34" s="4" t="s">
        <v>32</v>
      </c>
      <c r="I34" s="4" t="s">
        <v>88</v>
      </c>
      <c r="J34" s="4" t="s">
        <v>89</v>
      </c>
      <c r="K34" s="4" t="s">
        <v>90</v>
      </c>
      <c r="L34" s="7">
        <v>1.31</v>
      </c>
      <c r="M34" s="7">
        <v>2.1419999999999999</v>
      </c>
      <c r="N34" s="7">
        <v>-0.19999999999999996</v>
      </c>
      <c r="O34" s="7">
        <v>-13.24503311258278</v>
      </c>
      <c r="P34" s="7">
        <v>-0.56499999999999995</v>
      </c>
      <c r="Q34" s="7">
        <v>-20.871813816032507</v>
      </c>
      <c r="R34" s="7">
        <v>2747.7</v>
      </c>
      <c r="S34" s="7">
        <f t="shared" si="0"/>
        <v>169</v>
      </c>
      <c r="T34" s="7">
        <f t="shared" si="1"/>
        <v>16.258579881656804</v>
      </c>
      <c r="U34" s="7">
        <v>39.64</v>
      </c>
    </row>
    <row r="35" spans="3:23" x14ac:dyDescent="0.2">
      <c r="C35" s="10">
        <v>32</v>
      </c>
      <c r="D35" s="4" t="s">
        <v>56</v>
      </c>
      <c r="E35" s="4" t="s">
        <v>52</v>
      </c>
      <c r="F35" s="6">
        <v>45757</v>
      </c>
      <c r="G35" s="4" t="s">
        <v>42</v>
      </c>
      <c r="H35" s="4" t="s">
        <v>32</v>
      </c>
      <c r="I35" s="4" t="s">
        <v>88</v>
      </c>
      <c r="J35" s="4" t="s">
        <v>89</v>
      </c>
      <c r="K35" s="4" t="s">
        <v>90</v>
      </c>
      <c r="L35" s="7">
        <v>1.35</v>
      </c>
      <c r="M35" s="7">
        <v>2.1880000000000002</v>
      </c>
      <c r="N35" s="7">
        <v>-0.19999999999999996</v>
      </c>
      <c r="O35" s="7">
        <v>-12.90322580645161</v>
      </c>
      <c r="P35" s="7">
        <v>-0.58499999999999996</v>
      </c>
      <c r="Q35" s="7">
        <v>-21.09628561125135</v>
      </c>
      <c r="R35" s="7">
        <v>2437.6999999999998</v>
      </c>
      <c r="S35" s="7">
        <f t="shared" si="0"/>
        <v>169</v>
      </c>
      <c r="T35" s="7">
        <f t="shared" si="1"/>
        <v>14.424260355029585</v>
      </c>
      <c r="U35" s="7">
        <v>40.07</v>
      </c>
    </row>
    <row r="36" spans="3:23" x14ac:dyDescent="0.2">
      <c r="C36" s="10">
        <v>33</v>
      </c>
      <c r="D36" s="4" t="s">
        <v>56</v>
      </c>
      <c r="E36" s="4" t="s">
        <v>52</v>
      </c>
      <c r="F36" s="6">
        <v>45757</v>
      </c>
      <c r="G36" s="4" t="s">
        <v>42</v>
      </c>
      <c r="H36" s="4" t="s">
        <v>32</v>
      </c>
      <c r="I36" s="4" t="s">
        <v>88</v>
      </c>
      <c r="J36" s="4" t="s">
        <v>89</v>
      </c>
      <c r="K36" s="4" t="s">
        <v>90</v>
      </c>
      <c r="L36" s="7">
        <v>1.36</v>
      </c>
      <c r="M36" s="7">
        <v>2.2149999999999999</v>
      </c>
      <c r="N36" s="7">
        <v>-0.19999999999999996</v>
      </c>
      <c r="O36" s="7">
        <v>-12.820512820512816</v>
      </c>
      <c r="P36" s="7">
        <v>-0.58400000000000007</v>
      </c>
      <c r="Q36" s="7">
        <v>-20.864594498035018</v>
      </c>
      <c r="R36" s="7">
        <v>2716.57</v>
      </c>
      <c r="S36" s="7">
        <f t="shared" si="0"/>
        <v>169</v>
      </c>
      <c r="T36" s="7">
        <f t="shared" si="1"/>
        <v>16.074378698224852</v>
      </c>
      <c r="U36" s="7">
        <v>39.869999999999997</v>
      </c>
    </row>
    <row r="37" spans="3:23" x14ac:dyDescent="0.2">
      <c r="C37" s="10">
        <v>34</v>
      </c>
      <c r="D37" s="4" t="s">
        <v>56</v>
      </c>
      <c r="E37" s="4" t="s">
        <v>52</v>
      </c>
      <c r="F37" s="6">
        <v>45757</v>
      </c>
      <c r="G37" s="4" t="s">
        <v>42</v>
      </c>
      <c r="H37" s="4" t="s">
        <v>32</v>
      </c>
      <c r="I37" s="4" t="s">
        <v>88</v>
      </c>
      <c r="J37" s="4" t="s">
        <v>89</v>
      </c>
      <c r="K37" s="4" t="s">
        <v>90</v>
      </c>
      <c r="L37" s="7">
        <v>1.28</v>
      </c>
      <c r="M37" s="7">
        <v>2.1120000000000001</v>
      </c>
      <c r="N37" s="7">
        <v>-0.14999999999999991</v>
      </c>
      <c r="O37" s="7">
        <v>-10.489510489510485</v>
      </c>
      <c r="P37" s="7">
        <v>-0.55600000000000005</v>
      </c>
      <c r="Q37" s="7">
        <v>-20.839580209895054</v>
      </c>
      <c r="R37" s="7">
        <v>2856.14</v>
      </c>
      <c r="S37" s="7">
        <f t="shared" si="0"/>
        <v>169</v>
      </c>
      <c r="T37" s="7">
        <f t="shared" si="1"/>
        <v>16.900236686390532</v>
      </c>
      <c r="U37" s="7">
        <v>38.89</v>
      </c>
    </row>
    <row r="38" spans="3:23" x14ac:dyDescent="0.2">
      <c r="C38" s="10">
        <v>35</v>
      </c>
      <c r="D38" s="4" t="s">
        <v>59</v>
      </c>
      <c r="E38" s="4" t="s">
        <v>58</v>
      </c>
      <c r="F38" s="6">
        <v>45743</v>
      </c>
      <c r="G38" s="4" t="s">
        <v>42</v>
      </c>
      <c r="H38" s="4" t="s">
        <v>32</v>
      </c>
      <c r="I38" s="4" t="s">
        <v>88</v>
      </c>
      <c r="J38" s="4" t="s">
        <v>89</v>
      </c>
      <c r="K38" s="4" t="s">
        <v>90</v>
      </c>
      <c r="L38" s="7">
        <v>3.53</v>
      </c>
      <c r="M38" s="7">
        <v>4.7220000000000004</v>
      </c>
      <c r="N38" s="7">
        <v>-0.36661524000000068</v>
      </c>
      <c r="O38" s="7">
        <v>-9.408556334651113</v>
      </c>
      <c r="P38" s="7">
        <v>-1.2789999999999999</v>
      </c>
      <c r="Q38" s="7">
        <v>-21.313114480919847</v>
      </c>
      <c r="R38" s="7">
        <v>1743.52</v>
      </c>
      <c r="S38" s="7">
        <f>19^2</f>
        <v>361</v>
      </c>
      <c r="T38" s="7">
        <f t="shared" si="1"/>
        <v>4.8296952908587256</v>
      </c>
      <c r="U38" s="7">
        <v>50.5</v>
      </c>
    </row>
    <row r="39" spans="3:23" x14ac:dyDescent="0.2">
      <c r="C39" s="10">
        <v>36</v>
      </c>
      <c r="D39" s="4" t="s">
        <v>59</v>
      </c>
      <c r="E39" s="4" t="s">
        <v>58</v>
      </c>
      <c r="F39" s="6">
        <v>45743</v>
      </c>
      <c r="G39" s="4" t="s">
        <v>42</v>
      </c>
      <c r="H39" s="4" t="s">
        <v>32</v>
      </c>
      <c r="I39" s="4" t="s">
        <v>88</v>
      </c>
      <c r="J39" s="4" t="s">
        <v>89</v>
      </c>
      <c r="K39" s="4" t="s">
        <v>90</v>
      </c>
      <c r="L39" s="7">
        <v>3.39</v>
      </c>
      <c r="M39" s="7">
        <v>4.62</v>
      </c>
      <c r="N39" s="7">
        <v>-0.34602063999999988</v>
      </c>
      <c r="O39" s="7">
        <v>-9.2617432648873113</v>
      </c>
      <c r="P39" s="7">
        <v>-1.2400000000000002</v>
      </c>
      <c r="Q39" s="7">
        <v>-21.160409556313994</v>
      </c>
      <c r="R39" s="7">
        <v>2844.25</v>
      </c>
      <c r="S39" s="7">
        <f t="shared" ref="S39:S49" si="2">19^2</f>
        <v>361</v>
      </c>
      <c r="T39" s="7">
        <f t="shared" si="1"/>
        <v>7.8788088642659284</v>
      </c>
      <c r="U39" s="7">
        <v>46.38</v>
      </c>
    </row>
    <row r="40" spans="3:23" x14ac:dyDescent="0.2">
      <c r="C40" s="10">
        <v>37</v>
      </c>
      <c r="D40" s="4" t="s">
        <v>59</v>
      </c>
      <c r="E40" s="4" t="s">
        <v>58</v>
      </c>
      <c r="F40" s="6">
        <v>45743</v>
      </c>
      <c r="G40" s="4" t="s">
        <v>42</v>
      </c>
      <c r="H40" s="4" t="s">
        <v>32</v>
      </c>
      <c r="I40" s="4" t="s">
        <v>88</v>
      </c>
      <c r="J40" s="4" t="s">
        <v>89</v>
      </c>
      <c r="K40" s="4" t="s">
        <v>90</v>
      </c>
      <c r="L40" s="7">
        <v>3.51</v>
      </c>
      <c r="M40" s="7">
        <v>4.7830000000000004</v>
      </c>
      <c r="N40" s="7">
        <v>-0.37633133700000032</v>
      </c>
      <c r="O40" s="7">
        <v>-9.6834599103046131</v>
      </c>
      <c r="P40" s="7">
        <v>-1.3039999999999994</v>
      </c>
      <c r="Q40" s="7">
        <v>-21.422704123541966</v>
      </c>
      <c r="R40" s="7">
        <v>2821.39</v>
      </c>
      <c r="S40" s="7">
        <f t="shared" si="2"/>
        <v>361</v>
      </c>
      <c r="T40" s="7">
        <f t="shared" si="1"/>
        <v>7.8154847645429362</v>
      </c>
      <c r="U40" s="7">
        <v>49.62</v>
      </c>
    </row>
    <row r="41" spans="3:23" x14ac:dyDescent="0.2">
      <c r="C41" s="10">
        <v>38</v>
      </c>
      <c r="D41" s="4" t="s">
        <v>60</v>
      </c>
      <c r="E41" s="4" t="s">
        <v>58</v>
      </c>
      <c r="F41" s="6">
        <v>45743</v>
      </c>
      <c r="G41" s="4" t="s">
        <v>42</v>
      </c>
      <c r="H41" s="4" t="s">
        <v>32</v>
      </c>
      <c r="I41" s="4" t="s">
        <v>88</v>
      </c>
      <c r="J41" s="4" t="s">
        <v>89</v>
      </c>
      <c r="K41" s="4" t="s">
        <v>90</v>
      </c>
      <c r="L41" s="7">
        <v>3.55</v>
      </c>
      <c r="M41" s="7">
        <v>4.8120000000000003</v>
      </c>
      <c r="N41" s="7">
        <v>-0.30642322500000008</v>
      </c>
      <c r="O41" s="7">
        <v>-7.9457882893545762</v>
      </c>
      <c r="P41" s="7">
        <v>-1.3049999999999997</v>
      </c>
      <c r="Q41" s="7">
        <v>-21.333987248651294</v>
      </c>
      <c r="R41" s="7">
        <v>2698.41</v>
      </c>
      <c r="S41" s="7">
        <f t="shared" si="2"/>
        <v>361</v>
      </c>
      <c r="T41" s="7">
        <f t="shared" si="1"/>
        <v>7.4748199445983374</v>
      </c>
      <c r="U41" s="7">
        <v>49.92</v>
      </c>
    </row>
    <row r="42" spans="3:23" x14ac:dyDescent="0.2">
      <c r="C42" s="10">
        <v>39</v>
      </c>
      <c r="D42" s="4" t="s">
        <v>60</v>
      </c>
      <c r="E42" s="4" t="s">
        <v>58</v>
      </c>
      <c r="F42" s="6">
        <v>45743</v>
      </c>
      <c r="G42" s="4" t="s">
        <v>42</v>
      </c>
      <c r="H42" s="4" t="s">
        <v>32</v>
      </c>
      <c r="I42" s="4" t="s">
        <v>88</v>
      </c>
      <c r="J42" s="4" t="s">
        <v>89</v>
      </c>
      <c r="K42" s="4" t="s">
        <v>90</v>
      </c>
      <c r="L42" s="7">
        <v>3.46</v>
      </c>
      <c r="M42" s="7">
        <v>4.7359999999999998</v>
      </c>
      <c r="N42" s="7">
        <v>-0.3425906030000001</v>
      </c>
      <c r="O42" s="7">
        <v>-9.0094001370991155</v>
      </c>
      <c r="P42" s="7">
        <v>-1.2759999999999998</v>
      </c>
      <c r="Q42" s="7">
        <v>-21.224218230206251</v>
      </c>
      <c r="R42" s="7">
        <v>2675.67</v>
      </c>
      <c r="S42" s="7">
        <f t="shared" si="2"/>
        <v>361</v>
      </c>
      <c r="T42" s="7">
        <f t="shared" si="1"/>
        <v>7.411828254847646</v>
      </c>
      <c r="U42" s="7">
        <v>49.41</v>
      </c>
    </row>
    <row r="43" spans="3:23" x14ac:dyDescent="0.2">
      <c r="C43" s="10">
        <v>40</v>
      </c>
      <c r="D43" s="4" t="s">
        <v>60</v>
      </c>
      <c r="E43" s="4" t="s">
        <v>58</v>
      </c>
      <c r="F43" s="6">
        <v>45743</v>
      </c>
      <c r="G43" s="4" t="s">
        <v>42</v>
      </c>
      <c r="H43" s="4" t="s">
        <v>32</v>
      </c>
      <c r="I43" s="4" t="s">
        <v>88</v>
      </c>
      <c r="J43" s="4" t="s">
        <v>89</v>
      </c>
      <c r="K43" s="4" t="s">
        <v>90</v>
      </c>
      <c r="L43" s="7">
        <v>3.33</v>
      </c>
      <c r="M43" s="7">
        <v>4.7830000000000004</v>
      </c>
      <c r="N43" s="7">
        <v>-0.30138368000000026</v>
      </c>
      <c r="O43" s="7">
        <v>-8.2994171521969342</v>
      </c>
      <c r="P43" s="7">
        <v>-1.2559999999999993</v>
      </c>
      <c r="Q43" s="7">
        <v>-20.798145388309315</v>
      </c>
      <c r="R43" s="7">
        <v>3429.45</v>
      </c>
      <c r="S43" s="7">
        <f t="shared" si="2"/>
        <v>361</v>
      </c>
      <c r="T43" s="7">
        <f t="shared" si="1"/>
        <v>9.4998614958448755</v>
      </c>
      <c r="U43" s="7">
        <v>46.81</v>
      </c>
    </row>
    <row r="44" spans="3:23" x14ac:dyDescent="0.2">
      <c r="C44" s="10">
        <v>41</v>
      </c>
      <c r="D44" s="4" t="s">
        <v>61</v>
      </c>
      <c r="E44" s="4" t="s">
        <v>58</v>
      </c>
      <c r="F44" s="6">
        <v>45743</v>
      </c>
      <c r="G44" s="4" t="s">
        <v>42</v>
      </c>
      <c r="H44" s="4" t="s">
        <v>32</v>
      </c>
      <c r="I44" s="4" t="s">
        <v>88</v>
      </c>
      <c r="J44" s="4" t="s">
        <v>89</v>
      </c>
      <c r="K44" s="4" t="s">
        <v>90</v>
      </c>
      <c r="L44" s="7">
        <v>3.32</v>
      </c>
      <c r="M44" s="7">
        <v>4.7670000000000003</v>
      </c>
      <c r="N44" s="7">
        <v>-0.37769279000000022</v>
      </c>
      <c r="O44" s="7">
        <v>-10.214282566183661</v>
      </c>
      <c r="P44" s="7">
        <v>-1.266</v>
      </c>
      <c r="Q44" s="7">
        <v>-20.984584783689705</v>
      </c>
      <c r="R44" s="7">
        <v>3190.37</v>
      </c>
      <c r="S44" s="7">
        <f t="shared" si="2"/>
        <v>361</v>
      </c>
      <c r="T44" s="7">
        <f t="shared" si="1"/>
        <v>8.8375900277008306</v>
      </c>
      <c r="U44" s="7">
        <v>46.97</v>
      </c>
    </row>
    <row r="45" spans="3:23" x14ac:dyDescent="0.2">
      <c r="C45" s="10">
        <v>42</v>
      </c>
      <c r="D45" s="4" t="s">
        <v>61</v>
      </c>
      <c r="E45" s="4" t="s">
        <v>58</v>
      </c>
      <c r="F45" s="6">
        <v>45743</v>
      </c>
      <c r="G45" s="4" t="s">
        <v>42</v>
      </c>
      <c r="H45" s="4" t="s">
        <v>32</v>
      </c>
      <c r="I45" s="4" t="s">
        <v>88</v>
      </c>
      <c r="J45" s="4" t="s">
        <v>89</v>
      </c>
      <c r="K45" s="4" t="s">
        <v>90</v>
      </c>
      <c r="L45" s="7">
        <v>3.22</v>
      </c>
      <c r="M45" s="7">
        <v>4.742</v>
      </c>
      <c r="N45" s="7">
        <v>-0.29086903999999958</v>
      </c>
      <c r="O45" s="7">
        <v>-8.28481600099785</v>
      </c>
      <c r="P45" s="7">
        <v>-1.2610000000000001</v>
      </c>
      <c r="Q45" s="7">
        <v>-21.006163584874233</v>
      </c>
      <c r="R45" s="8">
        <v>3246.49</v>
      </c>
      <c r="S45" s="7">
        <f t="shared" si="2"/>
        <v>361</v>
      </c>
      <c r="T45" s="7">
        <f t="shared" si="1"/>
        <v>8.9930470914127412</v>
      </c>
      <c r="U45" s="8">
        <v>45.59</v>
      </c>
      <c r="V45" s="2"/>
      <c r="W45" s="1"/>
    </row>
    <row r="46" spans="3:23" x14ac:dyDescent="0.2">
      <c r="C46" s="10">
        <v>43</v>
      </c>
      <c r="D46" s="4" t="s">
        <v>61</v>
      </c>
      <c r="E46" s="4" t="s">
        <v>58</v>
      </c>
      <c r="F46" s="6">
        <v>45743</v>
      </c>
      <c r="G46" s="4" t="s">
        <v>42</v>
      </c>
      <c r="H46" s="4" t="s">
        <v>32</v>
      </c>
      <c r="I46" s="4" t="s">
        <v>88</v>
      </c>
      <c r="J46" s="4" t="s">
        <v>89</v>
      </c>
      <c r="K46" s="4" t="s">
        <v>90</v>
      </c>
      <c r="L46" s="7">
        <v>3.33</v>
      </c>
      <c r="M46" s="7">
        <v>4.7110000000000003</v>
      </c>
      <c r="N46" s="7">
        <v>-0.23977041599999938</v>
      </c>
      <c r="O46" s="7">
        <v>-6.7166900965207459</v>
      </c>
      <c r="P46" s="7">
        <v>-1.258</v>
      </c>
      <c r="Q46" s="7">
        <v>-21.075557044731109</v>
      </c>
      <c r="R46" s="7">
        <v>3558.46</v>
      </c>
      <c r="S46" s="7">
        <f t="shared" si="2"/>
        <v>361</v>
      </c>
      <c r="T46" s="7">
        <f t="shared" si="1"/>
        <v>9.8572299168975075</v>
      </c>
      <c r="U46" s="7">
        <v>47.61</v>
      </c>
    </row>
    <row r="47" spans="3:23" x14ac:dyDescent="0.2">
      <c r="C47" s="10">
        <v>44</v>
      </c>
      <c r="D47" s="4" t="s">
        <v>62</v>
      </c>
      <c r="E47" s="4" t="s">
        <v>58</v>
      </c>
      <c r="F47" s="6">
        <v>45743</v>
      </c>
      <c r="G47" s="4" t="s">
        <v>42</v>
      </c>
      <c r="H47" s="4" t="s">
        <v>32</v>
      </c>
      <c r="I47" s="4" t="s">
        <v>88</v>
      </c>
      <c r="J47" s="4" t="s">
        <v>89</v>
      </c>
      <c r="K47" s="4" t="s">
        <v>90</v>
      </c>
      <c r="L47" s="7">
        <v>2.97</v>
      </c>
      <c r="M47" s="7">
        <v>4.7350000000000003</v>
      </c>
      <c r="N47" s="7">
        <v>-0.17408392199999945</v>
      </c>
      <c r="O47" s="7">
        <v>-5.5368726255011032</v>
      </c>
      <c r="P47" s="7">
        <v>-1.2249999999999996</v>
      </c>
      <c r="Q47" s="7">
        <v>-20.553691275167779</v>
      </c>
      <c r="R47" s="7">
        <v>5014.07</v>
      </c>
      <c r="S47" s="7">
        <f t="shared" si="2"/>
        <v>361</v>
      </c>
      <c r="T47" s="7">
        <f t="shared" si="1"/>
        <v>13.88939058171745</v>
      </c>
      <c r="U47" s="7">
        <v>41.08</v>
      </c>
    </row>
    <row r="48" spans="3:23" x14ac:dyDescent="0.2">
      <c r="C48" s="10">
        <v>45</v>
      </c>
      <c r="D48" s="4" t="s">
        <v>62</v>
      </c>
      <c r="E48" s="4" t="s">
        <v>58</v>
      </c>
      <c r="F48" s="6">
        <v>45743</v>
      </c>
      <c r="G48" s="4" t="s">
        <v>42</v>
      </c>
      <c r="H48" s="4" t="s">
        <v>32</v>
      </c>
      <c r="I48" s="4" t="s">
        <v>88</v>
      </c>
      <c r="J48" s="4" t="s">
        <v>89</v>
      </c>
      <c r="K48" s="4" t="s">
        <v>90</v>
      </c>
      <c r="L48" s="7">
        <v>3.01</v>
      </c>
      <c r="M48" s="7">
        <v>4.7789999999999999</v>
      </c>
      <c r="N48" s="7">
        <v>-0.33887462399999979</v>
      </c>
      <c r="O48" s="7">
        <v>-10.11905974536716</v>
      </c>
      <c r="P48" s="7">
        <v>-1.2759999999999998</v>
      </c>
      <c r="Q48" s="7">
        <v>-21.07349298100743</v>
      </c>
      <c r="R48" s="7">
        <v>5006.8</v>
      </c>
      <c r="S48" s="7">
        <f t="shared" si="2"/>
        <v>361</v>
      </c>
      <c r="T48" s="7">
        <f t="shared" si="1"/>
        <v>13.869252077562328</v>
      </c>
      <c r="U48" s="7">
        <v>41.22</v>
      </c>
    </row>
    <row r="49" spans="3:23" x14ac:dyDescent="0.2">
      <c r="C49" s="10">
        <v>46</v>
      </c>
      <c r="D49" s="4" t="s">
        <v>62</v>
      </c>
      <c r="E49" s="4" t="s">
        <v>58</v>
      </c>
      <c r="F49" s="6">
        <v>45743</v>
      </c>
      <c r="G49" s="4" t="s">
        <v>42</v>
      </c>
      <c r="H49" s="4" t="s">
        <v>32</v>
      </c>
      <c r="I49" s="4" t="s">
        <v>88</v>
      </c>
      <c r="J49" s="4" t="s">
        <v>89</v>
      </c>
      <c r="K49" s="4" t="s">
        <v>90</v>
      </c>
      <c r="L49" s="7">
        <v>2.89</v>
      </c>
      <c r="M49" s="7">
        <v>4.7069999999999999</v>
      </c>
      <c r="N49" s="7">
        <v>-0.2719784319999996</v>
      </c>
      <c r="O49" s="7">
        <v>-8.6015271087086163</v>
      </c>
      <c r="P49" s="7">
        <v>-1.2380000000000004</v>
      </c>
      <c r="Q49" s="7">
        <v>-20.824222035323807</v>
      </c>
      <c r="R49" s="7">
        <v>5015.91</v>
      </c>
      <c r="S49" s="7">
        <f t="shared" si="2"/>
        <v>361</v>
      </c>
      <c r="T49" s="7">
        <f t="shared" si="1"/>
        <v>13.894487534626039</v>
      </c>
      <c r="U49" s="7">
        <v>39.83</v>
      </c>
    </row>
    <row r="50" spans="3:23" x14ac:dyDescent="0.2">
      <c r="C50" s="10">
        <v>47</v>
      </c>
      <c r="D50" s="4" t="s">
        <v>65</v>
      </c>
      <c r="E50" s="4" t="s">
        <v>36</v>
      </c>
      <c r="F50" s="6">
        <v>45839</v>
      </c>
      <c r="G50" s="4" t="s">
        <v>42</v>
      </c>
      <c r="H50" s="4" t="s">
        <v>48</v>
      </c>
      <c r="I50" s="4" t="s">
        <v>88</v>
      </c>
      <c r="J50" s="4" t="s">
        <v>89</v>
      </c>
      <c r="K50" s="4" t="s">
        <v>90</v>
      </c>
      <c r="L50" s="7">
        <v>3.83</v>
      </c>
      <c r="M50" s="7">
        <v>5.5720000000000001</v>
      </c>
      <c r="N50" s="7">
        <v>-0.21999999999999975</v>
      </c>
      <c r="O50" s="7">
        <v>-5.4320987654320936</v>
      </c>
      <c r="P50" s="7">
        <v>-0.48399999999999999</v>
      </c>
      <c r="Q50" s="7">
        <v>-7.9920739762219277</v>
      </c>
      <c r="R50" s="7">
        <v>7789.12</v>
      </c>
      <c r="S50" s="7">
        <f t="shared" ref="S50:S77" si="3">L50/22*1000</f>
        <v>174.09090909090909</v>
      </c>
      <c r="T50" s="7">
        <f t="shared" si="1"/>
        <v>44.741681462140988</v>
      </c>
      <c r="U50" s="7">
        <v>46.12</v>
      </c>
    </row>
    <row r="51" spans="3:23" x14ac:dyDescent="0.2">
      <c r="C51" s="10">
        <v>48</v>
      </c>
      <c r="D51" s="4" t="s">
        <v>64</v>
      </c>
      <c r="E51" s="4" t="s">
        <v>36</v>
      </c>
      <c r="F51" s="6">
        <v>45839</v>
      </c>
      <c r="G51" s="4" t="s">
        <v>42</v>
      </c>
      <c r="H51" s="4" t="s">
        <v>49</v>
      </c>
      <c r="I51" s="4" t="s">
        <v>88</v>
      </c>
      <c r="J51" s="4" t="s">
        <v>89</v>
      </c>
      <c r="K51" s="4" t="s">
        <v>90</v>
      </c>
      <c r="L51" s="7">
        <v>3.65</v>
      </c>
      <c r="M51" s="7">
        <v>4.6070000000000002</v>
      </c>
      <c r="N51" s="7">
        <v>-0.43000000000000016</v>
      </c>
      <c r="O51" s="7">
        <v>-7.72964227934568</v>
      </c>
      <c r="P51" s="7">
        <v>-0.95599999999999952</v>
      </c>
      <c r="Q51" s="7">
        <v>-17.184972137335961</v>
      </c>
      <c r="R51" s="7">
        <v>7505</v>
      </c>
      <c r="S51" s="7">
        <f t="shared" si="3"/>
        <v>165.90909090909091</v>
      </c>
      <c r="T51" s="7">
        <f t="shared" ref="T51:T92" si="4">R51/S51</f>
        <v>45.235616438356168</v>
      </c>
      <c r="U51" s="7">
        <v>53.3</v>
      </c>
    </row>
    <row r="52" spans="3:23" x14ac:dyDescent="0.2">
      <c r="C52" s="10">
        <v>49</v>
      </c>
      <c r="D52" s="4" t="s">
        <v>64</v>
      </c>
      <c r="E52" s="4" t="s">
        <v>36</v>
      </c>
      <c r="F52" s="6">
        <v>45839</v>
      </c>
      <c r="G52" s="4" t="s">
        <v>42</v>
      </c>
      <c r="H52" s="4" t="s">
        <v>49</v>
      </c>
      <c r="I52" s="4" t="s">
        <v>88</v>
      </c>
      <c r="J52" s="4" t="s">
        <v>89</v>
      </c>
      <c r="K52" s="4" t="s">
        <v>90</v>
      </c>
      <c r="L52" s="7">
        <v>3.78</v>
      </c>
      <c r="M52" s="7">
        <v>4.6050000000000004</v>
      </c>
      <c r="N52" s="7">
        <v>-0.2799999999999998</v>
      </c>
      <c r="O52" s="7">
        <v>-5.0441361916771719</v>
      </c>
      <c r="P52" s="7">
        <v>-0.94599999999999973</v>
      </c>
      <c r="Q52" s="7">
        <v>-17.041974419023596</v>
      </c>
      <c r="R52" s="7">
        <v>7505</v>
      </c>
      <c r="S52" s="7">
        <f t="shared" si="3"/>
        <v>171.81818181818181</v>
      </c>
      <c r="T52" s="7">
        <f t="shared" si="4"/>
        <v>43.679894179894184</v>
      </c>
      <c r="U52" s="7">
        <v>54.82</v>
      </c>
    </row>
    <row r="53" spans="3:23" x14ac:dyDescent="0.2">
      <c r="C53" s="10">
        <v>50</v>
      </c>
      <c r="D53" s="4" t="s">
        <v>64</v>
      </c>
      <c r="E53" s="4" t="s">
        <v>36</v>
      </c>
      <c r="F53" s="6">
        <v>45839</v>
      </c>
      <c r="G53" s="4" t="s">
        <v>42</v>
      </c>
      <c r="H53" s="4" t="s">
        <v>49</v>
      </c>
      <c r="I53" s="4" t="s">
        <v>88</v>
      </c>
      <c r="J53" s="4" t="s">
        <v>89</v>
      </c>
      <c r="K53" s="4" t="s">
        <v>90</v>
      </c>
      <c r="L53" s="7">
        <v>3.76</v>
      </c>
      <c r="M53" s="7">
        <v>4.58</v>
      </c>
      <c r="N53" s="7">
        <v>-0.3100000000000005</v>
      </c>
      <c r="O53" s="7">
        <v>-5.5795536357091526</v>
      </c>
      <c r="P53" s="7">
        <v>-0.97599999999999998</v>
      </c>
      <c r="Q53" s="7">
        <v>-17.566594672426206</v>
      </c>
      <c r="R53" s="7">
        <v>7272</v>
      </c>
      <c r="S53" s="7">
        <f t="shared" si="3"/>
        <v>170.90909090909091</v>
      </c>
      <c r="T53" s="7">
        <f t="shared" si="4"/>
        <v>42.54893617021277</v>
      </c>
      <c r="U53" s="7">
        <v>54.89</v>
      </c>
    </row>
    <row r="54" spans="3:23" x14ac:dyDescent="0.2">
      <c r="C54" s="10">
        <v>51</v>
      </c>
      <c r="D54" s="4" t="s">
        <v>63</v>
      </c>
      <c r="E54" s="4" t="s">
        <v>36</v>
      </c>
      <c r="F54" s="6">
        <v>45839</v>
      </c>
      <c r="G54" s="4" t="s">
        <v>42</v>
      </c>
      <c r="H54" s="4" t="s">
        <v>49</v>
      </c>
      <c r="I54" s="4" t="s">
        <v>88</v>
      </c>
      <c r="J54" s="4" t="s">
        <v>89</v>
      </c>
      <c r="K54" s="4" t="s">
        <v>90</v>
      </c>
      <c r="L54" s="7">
        <v>3.8</v>
      </c>
      <c r="M54" s="7">
        <v>4.9610000000000003</v>
      </c>
      <c r="N54" s="7">
        <v>-0.23000000000000043</v>
      </c>
      <c r="O54" s="7">
        <v>-3.8897344833417962</v>
      </c>
      <c r="P54" s="7">
        <v>-0.95199999999999996</v>
      </c>
      <c r="Q54" s="7">
        <v>-16.100118383223403</v>
      </c>
      <c r="R54" s="7">
        <v>8175</v>
      </c>
      <c r="S54" s="7">
        <f t="shared" si="3"/>
        <v>172.72727272727272</v>
      </c>
      <c r="T54" s="7">
        <f t="shared" si="4"/>
        <v>47.328947368421055</v>
      </c>
      <c r="U54" s="7">
        <v>51.71</v>
      </c>
    </row>
    <row r="55" spans="3:23" x14ac:dyDescent="0.2">
      <c r="C55" s="10">
        <v>52</v>
      </c>
      <c r="D55" s="4" t="s">
        <v>63</v>
      </c>
      <c r="E55" s="4" t="s">
        <v>36</v>
      </c>
      <c r="F55" s="6">
        <v>45839</v>
      </c>
      <c r="G55" s="4" t="s">
        <v>42</v>
      </c>
      <c r="H55" s="4" t="s">
        <v>49</v>
      </c>
      <c r="I55" s="4" t="s">
        <v>88</v>
      </c>
      <c r="J55" s="4" t="s">
        <v>89</v>
      </c>
      <c r="K55" s="4" t="s">
        <v>90</v>
      </c>
      <c r="L55" s="7">
        <v>3.82</v>
      </c>
      <c r="M55" s="7">
        <v>4.9189999999999996</v>
      </c>
      <c r="N55" s="7">
        <v>-0.23999999999999977</v>
      </c>
      <c r="O55" s="7">
        <v>-4.0774719673802204</v>
      </c>
      <c r="P55" s="7">
        <v>-0.96700000000000053</v>
      </c>
      <c r="Q55" s="7">
        <v>-16.428814135236163</v>
      </c>
      <c r="R55" s="7">
        <v>8314</v>
      </c>
      <c r="S55" s="7">
        <f t="shared" si="3"/>
        <v>173.63636363636363</v>
      </c>
      <c r="T55" s="7">
        <f t="shared" si="4"/>
        <v>47.881675392670161</v>
      </c>
      <c r="U55" s="7">
        <v>52.29</v>
      </c>
    </row>
    <row r="56" spans="3:23" x14ac:dyDescent="0.2">
      <c r="C56" s="10">
        <v>53</v>
      </c>
      <c r="D56" s="4" t="s">
        <v>63</v>
      </c>
      <c r="E56" s="4" t="s">
        <v>36</v>
      </c>
      <c r="F56" s="6">
        <v>45839</v>
      </c>
      <c r="G56" s="4" t="s">
        <v>42</v>
      </c>
      <c r="H56" s="4" t="s">
        <v>49</v>
      </c>
      <c r="I56" s="4" t="s">
        <v>88</v>
      </c>
      <c r="J56" s="4" t="s">
        <v>89</v>
      </c>
      <c r="K56" s="4" t="s">
        <v>90</v>
      </c>
      <c r="L56" s="7">
        <v>3.82</v>
      </c>
      <c r="M56" s="7">
        <v>4.9349999999999996</v>
      </c>
      <c r="N56" s="7">
        <v>-0.25000000000000044</v>
      </c>
      <c r="O56" s="7">
        <v>-4.175714047102062</v>
      </c>
      <c r="P56" s="7">
        <v>-1.0520000000000005</v>
      </c>
      <c r="Q56" s="7">
        <v>-17.571404710205453</v>
      </c>
      <c r="R56" s="7">
        <v>8597</v>
      </c>
      <c r="S56" s="7">
        <f t="shared" si="3"/>
        <v>173.63636363636363</v>
      </c>
      <c r="T56" s="7">
        <f t="shared" si="4"/>
        <v>49.51151832460733</v>
      </c>
      <c r="U56" s="7">
        <v>52.19</v>
      </c>
    </row>
    <row r="57" spans="3:23" x14ac:dyDescent="0.2">
      <c r="C57" s="10">
        <v>54</v>
      </c>
      <c r="D57" s="4" t="s">
        <v>64</v>
      </c>
      <c r="E57" s="4" t="s">
        <v>36</v>
      </c>
      <c r="F57" s="6">
        <v>45839</v>
      </c>
      <c r="G57" s="4" t="s">
        <v>42</v>
      </c>
      <c r="H57" s="4" t="s">
        <v>49</v>
      </c>
      <c r="I57" s="4" t="s">
        <v>88</v>
      </c>
      <c r="J57" s="4" t="s">
        <v>89</v>
      </c>
      <c r="K57" s="4" t="s">
        <v>90</v>
      </c>
      <c r="L57" s="7">
        <v>3.77</v>
      </c>
      <c r="M57" s="7">
        <v>4.8760000000000003</v>
      </c>
      <c r="N57" s="7">
        <v>-0.24999999999999956</v>
      </c>
      <c r="O57" s="7">
        <v>-4.4507744347516383</v>
      </c>
      <c r="P57" s="7">
        <v>-0.74099999999999966</v>
      </c>
      <c r="Q57" s="7">
        <v>-13.192095424603876</v>
      </c>
      <c r="R57" s="8">
        <v>2540</v>
      </c>
      <c r="S57" s="7">
        <f t="shared" si="3"/>
        <v>171.36363636363635</v>
      </c>
      <c r="T57" s="7">
        <f t="shared" si="4"/>
        <v>14.822281167108756</v>
      </c>
      <c r="U57" s="8">
        <v>52.14</v>
      </c>
      <c r="V57" s="2"/>
      <c r="W57" s="1"/>
    </row>
    <row r="58" spans="3:23" x14ac:dyDescent="0.2">
      <c r="C58" s="10">
        <v>55</v>
      </c>
      <c r="D58" s="4" t="s">
        <v>64</v>
      </c>
      <c r="E58" s="4" t="s">
        <v>36</v>
      </c>
      <c r="F58" s="6">
        <v>45839</v>
      </c>
      <c r="G58" s="4" t="s">
        <v>42</v>
      </c>
      <c r="H58" s="4" t="s">
        <v>49</v>
      </c>
      <c r="I58" s="4" t="s">
        <v>88</v>
      </c>
      <c r="J58" s="4" t="s">
        <v>89</v>
      </c>
      <c r="K58" s="4" t="s">
        <v>90</v>
      </c>
      <c r="L58" s="7">
        <v>3.77</v>
      </c>
      <c r="M58" s="7">
        <v>4.9329999999999998</v>
      </c>
      <c r="N58" s="7">
        <v>-0.26000000000000023</v>
      </c>
      <c r="O58" s="7">
        <v>-4.5871559633027559</v>
      </c>
      <c r="P58" s="7">
        <v>-0.73500000000000032</v>
      </c>
      <c r="Q58" s="7">
        <v>-12.967537050105863</v>
      </c>
      <c r="R58" s="7">
        <v>2243</v>
      </c>
      <c r="S58" s="7">
        <f t="shared" si="3"/>
        <v>171.36363636363635</v>
      </c>
      <c r="T58" s="7">
        <f t="shared" si="4"/>
        <v>13.089124668435014</v>
      </c>
      <c r="U58" s="7">
        <v>51.59</v>
      </c>
    </row>
    <row r="59" spans="3:23" x14ac:dyDescent="0.2">
      <c r="C59" s="10">
        <v>56</v>
      </c>
      <c r="D59" s="4" t="s">
        <v>64</v>
      </c>
      <c r="E59" s="4" t="s">
        <v>36</v>
      </c>
      <c r="F59" s="6">
        <v>45839</v>
      </c>
      <c r="G59" s="4" t="s">
        <v>42</v>
      </c>
      <c r="H59" s="4" t="s">
        <v>49</v>
      </c>
      <c r="I59" s="4" t="s">
        <v>88</v>
      </c>
      <c r="J59" s="4" t="s">
        <v>89</v>
      </c>
      <c r="K59" s="4" t="s">
        <v>90</v>
      </c>
      <c r="L59" s="7">
        <v>3.76</v>
      </c>
      <c r="M59" s="7">
        <v>4.9669999999999996</v>
      </c>
      <c r="N59" s="7">
        <v>-0.29999999999999982</v>
      </c>
      <c r="O59" s="7">
        <v>-5.2640814177925925</v>
      </c>
      <c r="P59" s="7">
        <v>-0.73200000000000021</v>
      </c>
      <c r="Q59" s="7">
        <v>-12.844358659413938</v>
      </c>
      <c r="R59" s="7">
        <v>2065</v>
      </c>
      <c r="S59" s="7">
        <f t="shared" si="3"/>
        <v>170.90909090909091</v>
      </c>
      <c r="T59" s="7">
        <f t="shared" si="4"/>
        <v>12.082446808510639</v>
      </c>
      <c r="U59" s="7">
        <v>51.1</v>
      </c>
    </row>
    <row r="60" spans="3:23" x14ac:dyDescent="0.2">
      <c r="C60" s="10">
        <v>57</v>
      </c>
      <c r="D60" s="4" t="s">
        <v>63</v>
      </c>
      <c r="E60" s="4" t="s">
        <v>36</v>
      </c>
      <c r="F60" s="6">
        <v>45839</v>
      </c>
      <c r="G60" s="4" t="s">
        <v>42</v>
      </c>
      <c r="H60" s="4" t="s">
        <v>49</v>
      </c>
      <c r="I60" s="4" t="s">
        <v>88</v>
      </c>
      <c r="J60" s="4" t="s">
        <v>89</v>
      </c>
      <c r="K60" s="4" t="s">
        <v>90</v>
      </c>
      <c r="L60" s="7">
        <v>3.81</v>
      </c>
      <c r="M60" s="7">
        <v>4.9320000000000004</v>
      </c>
      <c r="N60" s="7">
        <v>-0.22999999999999998</v>
      </c>
      <c r="O60" s="7">
        <v>-4.0628864158275917</v>
      </c>
      <c r="P60" s="7">
        <v>-0.7289999999999992</v>
      </c>
      <c r="Q60" s="7">
        <v>-12.877583465818745</v>
      </c>
      <c r="R60" s="7">
        <v>1820</v>
      </c>
      <c r="S60" s="7">
        <f t="shared" si="3"/>
        <v>173.18181818181819</v>
      </c>
      <c r="T60" s="7">
        <f t="shared" si="4"/>
        <v>10.509186351706036</v>
      </c>
      <c r="U60" s="7">
        <v>52.16</v>
      </c>
    </row>
    <row r="61" spans="3:23" x14ac:dyDescent="0.2">
      <c r="C61" s="10">
        <v>58</v>
      </c>
      <c r="D61" s="4" t="s">
        <v>63</v>
      </c>
      <c r="E61" s="4" t="s">
        <v>36</v>
      </c>
      <c r="F61" s="6">
        <v>45839</v>
      </c>
      <c r="G61" s="4" t="s">
        <v>42</v>
      </c>
      <c r="H61" s="4" t="s">
        <v>49</v>
      </c>
      <c r="I61" s="4" t="s">
        <v>88</v>
      </c>
      <c r="J61" s="4" t="s">
        <v>89</v>
      </c>
      <c r="K61" s="4" t="s">
        <v>90</v>
      </c>
      <c r="L61" s="7">
        <v>3.78</v>
      </c>
      <c r="M61" s="7">
        <v>4.9390000000000001</v>
      </c>
      <c r="N61" s="7">
        <v>-0.29000000000000048</v>
      </c>
      <c r="O61" s="7">
        <v>-5.1092318534179082</v>
      </c>
      <c r="P61" s="7">
        <v>-0.7370000000000001</v>
      </c>
      <c r="Q61" s="7">
        <v>-12.984496124031008</v>
      </c>
      <c r="R61" s="7">
        <v>1849</v>
      </c>
      <c r="S61" s="7">
        <f t="shared" si="3"/>
        <v>171.81818181818181</v>
      </c>
      <c r="T61" s="7">
        <f t="shared" si="4"/>
        <v>10.761375661375661</v>
      </c>
      <c r="U61" s="7">
        <v>51.63</v>
      </c>
    </row>
    <row r="62" spans="3:23" x14ac:dyDescent="0.2">
      <c r="C62" s="10">
        <v>59</v>
      </c>
      <c r="D62" s="4" t="s">
        <v>63</v>
      </c>
      <c r="E62" s="4" t="s">
        <v>36</v>
      </c>
      <c r="F62" s="6">
        <v>45839</v>
      </c>
      <c r="G62" s="4" t="s">
        <v>42</v>
      </c>
      <c r="H62" s="4" t="s">
        <v>49</v>
      </c>
      <c r="I62" s="4" t="s">
        <v>88</v>
      </c>
      <c r="J62" s="4" t="s">
        <v>89</v>
      </c>
      <c r="K62" s="4" t="s">
        <v>90</v>
      </c>
      <c r="L62" s="7">
        <v>3.77</v>
      </c>
      <c r="M62" s="7">
        <v>4.9400000000000004</v>
      </c>
      <c r="N62" s="7">
        <v>-0.30000000000000027</v>
      </c>
      <c r="O62" s="7">
        <v>-5.2966101694915304</v>
      </c>
      <c r="P62" s="7">
        <v>-0.72399999999999931</v>
      </c>
      <c r="Q62" s="7">
        <v>-12.782485875706204</v>
      </c>
      <c r="R62" s="7">
        <v>1986</v>
      </c>
      <c r="S62" s="7">
        <f t="shared" si="3"/>
        <v>171.36363636363635</v>
      </c>
      <c r="T62" s="7">
        <f t="shared" si="4"/>
        <v>11.589389920424404</v>
      </c>
      <c r="U62" s="7">
        <v>51.43</v>
      </c>
    </row>
    <row r="63" spans="3:23" x14ac:dyDescent="0.2">
      <c r="C63" s="10">
        <v>60</v>
      </c>
      <c r="D63" s="4" t="s">
        <v>66</v>
      </c>
      <c r="E63" s="4" t="s">
        <v>36</v>
      </c>
      <c r="F63" s="6">
        <v>45839</v>
      </c>
      <c r="G63" s="4" t="s">
        <v>42</v>
      </c>
      <c r="H63" s="4" t="s">
        <v>32</v>
      </c>
      <c r="I63" s="4" t="s">
        <v>88</v>
      </c>
      <c r="J63" s="4" t="s">
        <v>89</v>
      </c>
      <c r="K63" s="4" t="s">
        <v>90</v>
      </c>
      <c r="L63" s="7">
        <v>3.78</v>
      </c>
      <c r="M63" s="7">
        <v>4.9610000000000003</v>
      </c>
      <c r="N63" s="7">
        <v>-0.27</v>
      </c>
      <c r="O63" s="7">
        <v>-4.4473727557239346</v>
      </c>
      <c r="P63" s="7">
        <v>-1.1099999999999994</v>
      </c>
      <c r="Q63" s="7">
        <v>-18.283643551309495</v>
      </c>
      <c r="R63" s="7">
        <v>2671</v>
      </c>
      <c r="S63" s="7">
        <f t="shared" si="3"/>
        <v>171.81818181818181</v>
      </c>
      <c r="T63" s="7">
        <f t="shared" si="4"/>
        <v>15.545502645502646</v>
      </c>
      <c r="U63" s="7">
        <v>51.35</v>
      </c>
    </row>
    <row r="64" spans="3:23" x14ac:dyDescent="0.2">
      <c r="C64" s="10">
        <v>61</v>
      </c>
      <c r="D64" s="4" t="s">
        <v>66</v>
      </c>
      <c r="E64" s="4" t="s">
        <v>36</v>
      </c>
      <c r="F64" s="6">
        <v>45839</v>
      </c>
      <c r="G64" s="4" t="s">
        <v>42</v>
      </c>
      <c r="H64" s="4" t="s">
        <v>32</v>
      </c>
      <c r="I64" s="4" t="s">
        <v>88</v>
      </c>
      <c r="J64" s="4" t="s">
        <v>89</v>
      </c>
      <c r="K64" s="4" t="s">
        <v>90</v>
      </c>
      <c r="L64" s="7">
        <v>3.82</v>
      </c>
      <c r="M64" s="7">
        <v>4.9089999999999998</v>
      </c>
      <c r="N64" s="7">
        <v>-0.17000000000000037</v>
      </c>
      <c r="O64" s="7">
        <v>-2.8380634390651145</v>
      </c>
      <c r="P64" s="7">
        <v>-1.0810000000000004</v>
      </c>
      <c r="Q64" s="7">
        <v>-18.046744574290489</v>
      </c>
      <c r="R64" s="7">
        <v>2526</v>
      </c>
      <c r="S64" s="7">
        <f t="shared" si="3"/>
        <v>173.63636363636363</v>
      </c>
      <c r="T64" s="7">
        <f t="shared" si="4"/>
        <v>14.547643979057593</v>
      </c>
      <c r="U64" s="7">
        <v>52.43</v>
      </c>
    </row>
    <row r="65" spans="3:22" x14ac:dyDescent="0.2">
      <c r="C65" s="10">
        <v>62</v>
      </c>
      <c r="D65" s="4" t="s">
        <v>66</v>
      </c>
      <c r="E65" s="4" t="s">
        <v>36</v>
      </c>
      <c r="F65" s="6">
        <v>45839</v>
      </c>
      <c r="G65" s="4" t="s">
        <v>42</v>
      </c>
      <c r="H65" s="4" t="s">
        <v>32</v>
      </c>
      <c r="I65" s="4" t="s">
        <v>88</v>
      </c>
      <c r="J65" s="4" t="s">
        <v>89</v>
      </c>
      <c r="K65" s="4" t="s">
        <v>90</v>
      </c>
      <c r="L65" s="7">
        <v>3.73</v>
      </c>
      <c r="M65" s="7">
        <v>4.4580000000000002</v>
      </c>
      <c r="N65" s="7">
        <v>-0.27</v>
      </c>
      <c r="O65" s="7">
        <v>-4.9514028974876219</v>
      </c>
      <c r="P65" s="7">
        <v>-0.99500000000000011</v>
      </c>
      <c r="Q65" s="7">
        <v>-18.246836603704384</v>
      </c>
      <c r="R65" s="7">
        <v>900</v>
      </c>
      <c r="S65" s="7">
        <f t="shared" si="3"/>
        <v>169.54545454545456</v>
      </c>
      <c r="T65" s="7">
        <f t="shared" si="4"/>
        <v>5.3083109919571037</v>
      </c>
      <c r="U65" s="7">
        <v>55.73</v>
      </c>
    </row>
    <row r="66" spans="3:22" x14ac:dyDescent="0.2">
      <c r="C66" s="10">
        <v>63</v>
      </c>
      <c r="D66" s="4" t="s">
        <v>67</v>
      </c>
      <c r="E66" s="4" t="s">
        <v>36</v>
      </c>
      <c r="F66" s="6">
        <v>45832</v>
      </c>
      <c r="G66" s="4" t="s">
        <v>42</v>
      </c>
      <c r="H66" s="4" t="s">
        <v>32</v>
      </c>
      <c r="I66" s="4" t="s">
        <v>88</v>
      </c>
      <c r="J66" s="4" t="s">
        <v>89</v>
      </c>
      <c r="K66" s="4" t="s">
        <v>90</v>
      </c>
      <c r="L66" s="7">
        <v>3.66</v>
      </c>
      <c r="M66" s="7">
        <v>4.7009999999999996</v>
      </c>
      <c r="N66" s="7">
        <v>-0.59999999999999964</v>
      </c>
      <c r="O66" s="7">
        <v>-14.084507042253513</v>
      </c>
      <c r="P66" s="7">
        <v>-1.2850000000000001</v>
      </c>
      <c r="Q66" s="7">
        <v>-21.466755763448049</v>
      </c>
      <c r="R66" s="7">
        <v>2136</v>
      </c>
      <c r="S66" s="7">
        <f t="shared" si="3"/>
        <v>166.36363636363637</v>
      </c>
      <c r="T66" s="7">
        <f t="shared" si="4"/>
        <v>12.83934426229508</v>
      </c>
      <c r="U66" s="7">
        <v>52.48</v>
      </c>
    </row>
    <row r="67" spans="3:22" x14ac:dyDescent="0.2">
      <c r="C67" s="10">
        <v>64</v>
      </c>
      <c r="D67" s="4" t="s">
        <v>67</v>
      </c>
      <c r="E67" s="4" t="s">
        <v>36</v>
      </c>
      <c r="F67" s="6">
        <v>45832</v>
      </c>
      <c r="G67" s="4" t="s">
        <v>42</v>
      </c>
      <c r="H67" s="4" t="s">
        <v>32</v>
      </c>
      <c r="I67" s="4" t="s">
        <v>88</v>
      </c>
      <c r="J67" s="4" t="s">
        <v>89</v>
      </c>
      <c r="K67" s="4" t="s">
        <v>90</v>
      </c>
      <c r="L67" s="7">
        <v>3.52</v>
      </c>
      <c r="M67" s="7">
        <v>4.657</v>
      </c>
      <c r="N67" s="7">
        <v>-0.6599999999999997</v>
      </c>
      <c r="O67" s="7">
        <v>-15.78947368421052</v>
      </c>
      <c r="P67" s="7">
        <v>-1.2409999999999997</v>
      </c>
      <c r="Q67" s="7">
        <v>-21.041030857917935</v>
      </c>
      <c r="R67" s="7">
        <v>2026</v>
      </c>
      <c r="S67" s="7">
        <f t="shared" si="3"/>
        <v>160</v>
      </c>
      <c r="T67" s="7">
        <f t="shared" si="4"/>
        <v>12.6625</v>
      </c>
      <c r="U67" s="7">
        <v>51.05</v>
      </c>
    </row>
    <row r="68" spans="3:22" x14ac:dyDescent="0.2">
      <c r="C68" s="10">
        <v>65</v>
      </c>
      <c r="D68" s="4" t="s">
        <v>67</v>
      </c>
      <c r="E68" s="4" t="s">
        <v>36</v>
      </c>
      <c r="F68" s="6">
        <v>45832</v>
      </c>
      <c r="G68" s="4" t="s">
        <v>42</v>
      </c>
      <c r="H68" s="4" t="s">
        <v>32</v>
      </c>
      <c r="I68" s="4" t="s">
        <v>88</v>
      </c>
      <c r="J68" s="4" t="s">
        <v>89</v>
      </c>
      <c r="K68" s="4" t="s">
        <v>90</v>
      </c>
      <c r="L68" s="7">
        <v>3.47</v>
      </c>
      <c r="M68" s="7">
        <v>4.6269999999999998</v>
      </c>
      <c r="N68" s="7">
        <v>-0.69999999999999973</v>
      </c>
      <c r="O68" s="7">
        <v>-16.786570743405267</v>
      </c>
      <c r="P68" s="7">
        <v>-1.2599999999999998</v>
      </c>
      <c r="Q68" s="7">
        <v>-21.403091557669441</v>
      </c>
      <c r="R68" s="7">
        <v>1883</v>
      </c>
      <c r="S68" s="7">
        <f t="shared" si="3"/>
        <v>157.72727272727275</v>
      </c>
      <c r="T68" s="7">
        <f t="shared" si="4"/>
        <v>11.938328530259364</v>
      </c>
      <c r="U68" s="7">
        <v>50.62</v>
      </c>
    </row>
    <row r="69" spans="3:22" x14ac:dyDescent="0.2">
      <c r="C69" s="10">
        <v>66</v>
      </c>
      <c r="D69" s="4" t="s">
        <v>67</v>
      </c>
      <c r="E69" s="4" t="s">
        <v>36</v>
      </c>
      <c r="F69" s="6">
        <v>45832</v>
      </c>
      <c r="G69" s="4" t="s">
        <v>42</v>
      </c>
      <c r="H69" s="4" t="s">
        <v>32</v>
      </c>
      <c r="I69" s="4" t="s">
        <v>88</v>
      </c>
      <c r="J69" s="4" t="s">
        <v>89</v>
      </c>
      <c r="K69" s="4" t="s">
        <v>90</v>
      </c>
      <c r="L69" s="7">
        <v>3.54</v>
      </c>
      <c r="M69" s="7">
        <v>4.577</v>
      </c>
      <c r="N69" s="7">
        <v>-0.66999999999999993</v>
      </c>
      <c r="O69" s="7">
        <v>-15.914489311163893</v>
      </c>
      <c r="P69" s="7">
        <v>-1.3120000000000003</v>
      </c>
      <c r="Q69" s="7">
        <v>-22.278824927831554</v>
      </c>
      <c r="R69" s="7">
        <v>1966</v>
      </c>
      <c r="S69" s="7">
        <f t="shared" si="3"/>
        <v>160.90909090909091</v>
      </c>
      <c r="T69" s="7">
        <f t="shared" si="4"/>
        <v>12.218079096045198</v>
      </c>
      <c r="U69" s="7">
        <v>52.13</v>
      </c>
    </row>
    <row r="70" spans="3:22" x14ac:dyDescent="0.2">
      <c r="C70" s="10">
        <v>67</v>
      </c>
      <c r="D70" s="4" t="s">
        <v>67</v>
      </c>
      <c r="E70" s="4" t="s">
        <v>36</v>
      </c>
      <c r="F70" s="6">
        <v>45832</v>
      </c>
      <c r="G70" s="4" t="s">
        <v>42</v>
      </c>
      <c r="H70" s="4" t="s">
        <v>32</v>
      </c>
      <c r="I70" s="4" t="s">
        <v>88</v>
      </c>
      <c r="J70" s="4" t="s">
        <v>89</v>
      </c>
      <c r="K70" s="4" t="s">
        <v>90</v>
      </c>
      <c r="L70" s="7">
        <v>3.52</v>
      </c>
      <c r="M70" s="7">
        <v>4.6109999999999998</v>
      </c>
      <c r="N70" s="7">
        <v>-0.7200000000000002</v>
      </c>
      <c r="O70" s="7">
        <v>-16.981132075471702</v>
      </c>
      <c r="P70" s="7">
        <v>-1.2370000000000001</v>
      </c>
      <c r="Q70" s="7">
        <v>-21.152530779753764</v>
      </c>
      <c r="R70" s="7">
        <v>1912</v>
      </c>
      <c r="S70" s="7">
        <f t="shared" si="3"/>
        <v>160</v>
      </c>
      <c r="T70" s="7">
        <f t="shared" si="4"/>
        <v>11.95</v>
      </c>
      <c r="U70" s="7">
        <v>51.47</v>
      </c>
    </row>
    <row r="71" spans="3:22" x14ac:dyDescent="0.2">
      <c r="C71" s="10">
        <v>68</v>
      </c>
      <c r="D71" s="4" t="s">
        <v>67</v>
      </c>
      <c r="E71" s="4" t="s">
        <v>36</v>
      </c>
      <c r="F71" s="6">
        <v>45832</v>
      </c>
      <c r="G71" s="4" t="s">
        <v>42</v>
      </c>
      <c r="H71" s="4" t="s">
        <v>32</v>
      </c>
      <c r="I71" s="4" t="s">
        <v>88</v>
      </c>
      <c r="J71" s="4" t="s">
        <v>89</v>
      </c>
      <c r="K71" s="4" t="s">
        <v>90</v>
      </c>
      <c r="L71" s="7">
        <v>3.49</v>
      </c>
      <c r="M71" s="7">
        <v>4.6879999999999997</v>
      </c>
      <c r="N71" s="7">
        <v>-0.72999999999999954</v>
      </c>
      <c r="O71" s="7">
        <v>-17.298578199052123</v>
      </c>
      <c r="P71" s="7">
        <v>-1.2780000000000005</v>
      </c>
      <c r="Q71" s="7">
        <v>-21.42138786456588</v>
      </c>
      <c r="R71" s="7">
        <v>2089</v>
      </c>
      <c r="S71" s="7">
        <f t="shared" si="3"/>
        <v>158.63636363636365</v>
      </c>
      <c r="T71" s="7">
        <f t="shared" si="4"/>
        <v>13.168481375358164</v>
      </c>
      <c r="U71" s="7">
        <v>50.27</v>
      </c>
    </row>
    <row r="72" spans="3:22" x14ac:dyDescent="0.2">
      <c r="C72" s="10">
        <v>69</v>
      </c>
      <c r="D72" s="4" t="s">
        <v>68</v>
      </c>
      <c r="E72" s="4" t="s">
        <v>36</v>
      </c>
      <c r="F72" s="6">
        <v>45832</v>
      </c>
      <c r="G72" s="4" t="s">
        <v>42</v>
      </c>
      <c r="H72" s="4" t="s">
        <v>33</v>
      </c>
      <c r="I72" s="4" t="s">
        <v>88</v>
      </c>
      <c r="J72" s="4" t="s">
        <v>89</v>
      </c>
      <c r="K72" s="4" t="s">
        <v>90</v>
      </c>
      <c r="L72" s="7">
        <v>3.5</v>
      </c>
      <c r="M72" s="7">
        <v>4.1920000000000002</v>
      </c>
      <c r="N72" s="7">
        <v>-0.62000000000000011</v>
      </c>
      <c r="O72" s="7">
        <v>-10.528103243335032</v>
      </c>
      <c r="P72" s="7">
        <v>-1.6970000000000001</v>
      </c>
      <c r="Q72" s="7">
        <v>-28.816437425708948</v>
      </c>
      <c r="R72" s="8">
        <v>2172</v>
      </c>
      <c r="S72" s="7">
        <f t="shared" si="3"/>
        <v>159.09090909090909</v>
      </c>
      <c r="T72" s="7">
        <f t="shared" si="4"/>
        <v>13.652571428571429</v>
      </c>
      <c r="U72" s="8">
        <v>55.68</v>
      </c>
      <c r="V72" s="2"/>
    </row>
    <row r="73" spans="3:22" x14ac:dyDescent="0.2">
      <c r="C73" s="10">
        <v>70</v>
      </c>
      <c r="D73" s="4" t="s">
        <v>68</v>
      </c>
      <c r="E73" s="4" t="s">
        <v>36</v>
      </c>
      <c r="F73" s="6">
        <v>45832</v>
      </c>
      <c r="G73" s="4" t="s">
        <v>42</v>
      </c>
      <c r="H73" s="4" t="s">
        <v>33</v>
      </c>
      <c r="I73" s="4" t="s">
        <v>88</v>
      </c>
      <c r="J73" s="4" t="s">
        <v>89</v>
      </c>
      <c r="K73" s="4" t="s">
        <v>90</v>
      </c>
      <c r="L73" s="7">
        <v>3.45</v>
      </c>
      <c r="M73" s="7">
        <v>4.22</v>
      </c>
      <c r="N73" s="7">
        <v>-0.66000000000000014</v>
      </c>
      <c r="O73" s="7">
        <v>-11.148648648648651</v>
      </c>
      <c r="P73" s="7">
        <v>-1.7000000000000002</v>
      </c>
      <c r="Q73" s="7">
        <v>-28.716216216216218</v>
      </c>
      <c r="R73" s="7">
        <v>2085</v>
      </c>
      <c r="S73" s="7">
        <f t="shared" si="3"/>
        <v>156.81818181818184</v>
      </c>
      <c r="T73" s="7">
        <f t="shared" si="4"/>
        <v>13.295652173913041</v>
      </c>
      <c r="U73" s="7">
        <v>54.7</v>
      </c>
    </row>
    <row r="74" spans="3:22" x14ac:dyDescent="0.2">
      <c r="C74" s="10">
        <v>71</v>
      </c>
      <c r="D74" s="4" t="s">
        <v>68</v>
      </c>
      <c r="E74" s="4" t="s">
        <v>36</v>
      </c>
      <c r="F74" s="6">
        <v>45832</v>
      </c>
      <c r="G74" s="4" t="s">
        <v>42</v>
      </c>
      <c r="H74" s="4" t="s">
        <v>33</v>
      </c>
      <c r="I74" s="4" t="s">
        <v>88</v>
      </c>
      <c r="J74" s="4" t="s">
        <v>89</v>
      </c>
      <c r="K74" s="4" t="s">
        <v>90</v>
      </c>
      <c r="L74" s="7">
        <v>3.47</v>
      </c>
      <c r="M74" s="7">
        <v>4.1989999999999998</v>
      </c>
      <c r="N74" s="7">
        <v>-0.69</v>
      </c>
      <c r="O74" s="7">
        <v>-11.690952219586579</v>
      </c>
      <c r="P74" s="7">
        <v>-1.7030000000000003</v>
      </c>
      <c r="Q74" s="7">
        <v>-28.854625550660796</v>
      </c>
      <c r="R74" s="7">
        <v>2074</v>
      </c>
      <c r="S74" s="7">
        <f t="shared" si="3"/>
        <v>157.72727272727275</v>
      </c>
      <c r="T74" s="7">
        <f t="shared" si="4"/>
        <v>13.149279538904898</v>
      </c>
      <c r="U74" s="7">
        <v>55.12</v>
      </c>
    </row>
    <row r="75" spans="3:22" x14ac:dyDescent="0.2">
      <c r="C75" s="10">
        <v>72</v>
      </c>
      <c r="D75" s="4" t="s">
        <v>69</v>
      </c>
      <c r="E75" s="4" t="s">
        <v>36</v>
      </c>
      <c r="F75" s="6">
        <v>45832</v>
      </c>
      <c r="G75" s="4" t="s">
        <v>42</v>
      </c>
      <c r="H75" s="4" t="s">
        <v>34</v>
      </c>
      <c r="I75" s="4" t="s">
        <v>88</v>
      </c>
      <c r="J75" s="4" t="s">
        <v>89</v>
      </c>
      <c r="K75" s="4" t="s">
        <v>90</v>
      </c>
      <c r="L75" s="7">
        <v>3.5</v>
      </c>
      <c r="M75" s="7">
        <v>3.806</v>
      </c>
      <c r="N75" s="7">
        <v>-0.55999999999999961</v>
      </c>
      <c r="O75" s="7">
        <v>-9.5857583019513797</v>
      </c>
      <c r="P75" s="7">
        <v>-2.0359999999999996</v>
      </c>
      <c r="Q75" s="7">
        <v>-34.851078397808962</v>
      </c>
      <c r="R75" s="8">
        <v>1833</v>
      </c>
      <c r="S75" s="7">
        <f t="shared" si="3"/>
        <v>159.09090909090909</v>
      </c>
      <c r="T75" s="7">
        <f t="shared" si="4"/>
        <v>11.521714285714285</v>
      </c>
      <c r="U75" s="8">
        <v>59.76</v>
      </c>
      <c r="V75" s="2"/>
    </row>
    <row r="76" spans="3:22" x14ac:dyDescent="0.2">
      <c r="C76" s="10">
        <v>73</v>
      </c>
      <c r="D76" s="4" t="s">
        <v>69</v>
      </c>
      <c r="E76" s="4" t="s">
        <v>36</v>
      </c>
      <c r="F76" s="6">
        <v>45832</v>
      </c>
      <c r="G76" s="4" t="s">
        <v>42</v>
      </c>
      <c r="H76" s="4" t="s">
        <v>34</v>
      </c>
      <c r="I76" s="4" t="s">
        <v>88</v>
      </c>
      <c r="J76" s="4" t="s">
        <v>89</v>
      </c>
      <c r="K76" s="4" t="s">
        <v>90</v>
      </c>
      <c r="L76" s="7">
        <v>3.55</v>
      </c>
      <c r="M76" s="7">
        <v>3.8650000000000002</v>
      </c>
      <c r="N76" s="7">
        <v>-0.52000000000000046</v>
      </c>
      <c r="O76" s="7">
        <v>-8.8375254928620048</v>
      </c>
      <c r="P76" s="7">
        <v>-2.0190000000000001</v>
      </c>
      <c r="Q76" s="7">
        <v>-34.313392250169954</v>
      </c>
      <c r="R76" s="7">
        <v>1925</v>
      </c>
      <c r="S76" s="7">
        <f t="shared" si="3"/>
        <v>161.36363636363635</v>
      </c>
      <c r="T76" s="7">
        <f t="shared" si="4"/>
        <v>11.929577464788734</v>
      </c>
      <c r="U76" s="7">
        <v>59.67</v>
      </c>
    </row>
    <row r="77" spans="3:22" x14ac:dyDescent="0.2">
      <c r="C77" s="10">
        <v>74</v>
      </c>
      <c r="D77" s="4" t="s">
        <v>69</v>
      </c>
      <c r="E77" s="4" t="s">
        <v>36</v>
      </c>
      <c r="F77" s="6">
        <v>45832</v>
      </c>
      <c r="G77" s="4" t="s">
        <v>42</v>
      </c>
      <c r="H77" s="4" t="s">
        <v>34</v>
      </c>
      <c r="I77" s="4" t="s">
        <v>88</v>
      </c>
      <c r="J77" s="4" t="s">
        <v>89</v>
      </c>
      <c r="K77" s="4" t="s">
        <v>90</v>
      </c>
      <c r="L77" s="7">
        <v>3.47</v>
      </c>
      <c r="M77" s="7">
        <v>3.879</v>
      </c>
      <c r="N77" s="7">
        <v>-0.58999999999999941</v>
      </c>
      <c r="O77" s="7">
        <v>-9.9510878731657844</v>
      </c>
      <c r="P77" s="7">
        <v>-2.0500000000000003</v>
      </c>
      <c r="Q77" s="7">
        <v>-34.575813796593017</v>
      </c>
      <c r="R77" s="7">
        <v>1849</v>
      </c>
      <c r="S77" s="7">
        <f t="shared" si="3"/>
        <v>157.72727272727275</v>
      </c>
      <c r="T77" s="7">
        <f t="shared" si="4"/>
        <v>11.722766570605186</v>
      </c>
      <c r="U77" s="7">
        <v>58.58</v>
      </c>
    </row>
    <row r="78" spans="3:22" x14ac:dyDescent="0.2">
      <c r="C78" s="10">
        <v>75</v>
      </c>
      <c r="D78" s="4" t="s">
        <v>70</v>
      </c>
      <c r="E78" s="4" t="s">
        <v>36</v>
      </c>
      <c r="F78" s="6">
        <v>45832</v>
      </c>
      <c r="G78" s="4" t="s">
        <v>42</v>
      </c>
      <c r="H78" s="4" t="s">
        <v>32</v>
      </c>
      <c r="I78" s="4" t="s">
        <v>88</v>
      </c>
      <c r="J78" s="4" t="s">
        <v>89</v>
      </c>
      <c r="K78" s="4" t="s">
        <v>90</v>
      </c>
      <c r="L78" s="7">
        <v>3.63</v>
      </c>
      <c r="M78" s="7">
        <v>4.5999999999999996</v>
      </c>
      <c r="N78" s="7">
        <v>-0.62000000000000011</v>
      </c>
      <c r="O78" s="7">
        <v>-10.465901417960838</v>
      </c>
      <c r="P78" s="7">
        <v>-1.3240000000000007</v>
      </c>
      <c r="Q78" s="7">
        <v>-22.349763673193799</v>
      </c>
      <c r="R78" s="7">
        <v>5057</v>
      </c>
      <c r="S78" s="7">
        <f t="shared" ref="S78:S122" si="5">L78/22*1000</f>
        <v>165</v>
      </c>
      <c r="T78" s="7">
        <f t="shared" si="4"/>
        <v>30.648484848484848</v>
      </c>
      <c r="U78" s="7">
        <v>53.13</v>
      </c>
    </row>
    <row r="79" spans="3:22" x14ac:dyDescent="0.2">
      <c r="C79" s="10">
        <v>76</v>
      </c>
      <c r="D79" s="4" t="s">
        <v>70</v>
      </c>
      <c r="E79" s="4" t="s">
        <v>36</v>
      </c>
      <c r="F79" s="6">
        <v>45832</v>
      </c>
      <c r="G79" s="4" t="s">
        <v>42</v>
      </c>
      <c r="H79" s="4" t="s">
        <v>32</v>
      </c>
      <c r="I79" s="4" t="s">
        <v>88</v>
      </c>
      <c r="J79" s="4" t="s">
        <v>89</v>
      </c>
      <c r="K79" s="4" t="s">
        <v>90</v>
      </c>
      <c r="L79" s="7">
        <v>3.5</v>
      </c>
      <c r="M79" s="7">
        <v>4.59</v>
      </c>
      <c r="N79" s="7">
        <v>-0.62000000000000011</v>
      </c>
      <c r="O79" s="7">
        <v>-10.444743935309974</v>
      </c>
      <c r="P79" s="7">
        <v>-1.3460000000000001</v>
      </c>
      <c r="Q79" s="7">
        <v>-22.675202156334233</v>
      </c>
      <c r="R79" s="7">
        <v>7090</v>
      </c>
      <c r="S79" s="7">
        <f t="shared" si="5"/>
        <v>159.09090909090909</v>
      </c>
      <c r="T79" s="7">
        <f t="shared" si="4"/>
        <v>44.565714285714286</v>
      </c>
      <c r="U79" s="7">
        <v>51.44</v>
      </c>
    </row>
    <row r="80" spans="3:22" x14ac:dyDescent="0.2">
      <c r="C80" s="10">
        <v>77</v>
      </c>
      <c r="D80" s="4" t="s">
        <v>70</v>
      </c>
      <c r="E80" s="4" t="s">
        <v>36</v>
      </c>
      <c r="F80" s="6">
        <v>45832</v>
      </c>
      <c r="G80" s="4" t="s">
        <v>42</v>
      </c>
      <c r="H80" s="4" t="s">
        <v>32</v>
      </c>
      <c r="I80" s="4" t="s">
        <v>88</v>
      </c>
      <c r="J80" s="4" t="s">
        <v>89</v>
      </c>
      <c r="K80" s="4" t="s">
        <v>90</v>
      </c>
      <c r="L80" s="7">
        <v>3.48</v>
      </c>
      <c r="M80" s="7">
        <v>4.5789999999999997</v>
      </c>
      <c r="N80" s="7">
        <v>-0.63000000000000034</v>
      </c>
      <c r="O80" s="7">
        <v>-10.609632873021226</v>
      </c>
      <c r="P80" s="7">
        <v>-1.359</v>
      </c>
      <c r="Q80" s="7">
        <v>-22.886493768945773</v>
      </c>
      <c r="R80" s="7">
        <v>7012</v>
      </c>
      <c r="S80" s="7">
        <f t="shared" si="5"/>
        <v>158.18181818181819</v>
      </c>
      <c r="T80" s="7">
        <f t="shared" si="4"/>
        <v>44.328735632183907</v>
      </c>
      <c r="U80" s="7">
        <v>51.27</v>
      </c>
    </row>
    <row r="81" spans="3:22" x14ac:dyDescent="0.2">
      <c r="C81" s="10">
        <v>78</v>
      </c>
      <c r="D81" s="4" t="s">
        <v>70</v>
      </c>
      <c r="E81" s="4" t="s">
        <v>36</v>
      </c>
      <c r="F81" s="6">
        <v>45832</v>
      </c>
      <c r="G81" s="4" t="s">
        <v>42</v>
      </c>
      <c r="H81" s="4" t="s">
        <v>32</v>
      </c>
      <c r="I81" s="4" t="s">
        <v>88</v>
      </c>
      <c r="J81" s="4" t="s">
        <v>89</v>
      </c>
      <c r="K81" s="4" t="s">
        <v>90</v>
      </c>
      <c r="L81" s="7">
        <v>3.49</v>
      </c>
      <c r="M81" s="7">
        <v>4.5979999999999999</v>
      </c>
      <c r="N81" s="7">
        <v>-0.58999999999999986</v>
      </c>
      <c r="O81" s="7">
        <v>-9.8777833584463401</v>
      </c>
      <c r="P81" s="7">
        <v>-1.375</v>
      </c>
      <c r="Q81" s="7">
        <v>-23.020257826887661</v>
      </c>
      <c r="R81" s="8">
        <v>7121</v>
      </c>
      <c r="S81" s="7">
        <f t="shared" si="5"/>
        <v>158.63636363636365</v>
      </c>
      <c r="T81" s="7">
        <f t="shared" si="4"/>
        <v>44.888825214899711</v>
      </c>
      <c r="U81" s="8">
        <v>51.21</v>
      </c>
      <c r="V81" s="2"/>
    </row>
    <row r="82" spans="3:22" x14ac:dyDescent="0.2">
      <c r="C82" s="10">
        <v>79</v>
      </c>
      <c r="D82" s="4" t="s">
        <v>70</v>
      </c>
      <c r="E82" s="4" t="s">
        <v>36</v>
      </c>
      <c r="F82" s="6">
        <v>45832</v>
      </c>
      <c r="G82" s="4" t="s">
        <v>42</v>
      </c>
      <c r="H82" s="4" t="s">
        <v>32</v>
      </c>
      <c r="I82" s="4" t="s">
        <v>88</v>
      </c>
      <c r="J82" s="4" t="s">
        <v>89</v>
      </c>
      <c r="K82" s="4" t="s">
        <v>90</v>
      </c>
      <c r="L82" s="7">
        <v>3.54</v>
      </c>
      <c r="M82" s="7">
        <v>4.5720000000000001</v>
      </c>
      <c r="N82" s="7">
        <v>-0.54999999999999982</v>
      </c>
      <c r="O82" s="7">
        <v>-9.2297365329753287</v>
      </c>
      <c r="P82" s="7">
        <v>-1.3869999999999996</v>
      </c>
      <c r="Q82" s="7">
        <v>-23.275717402248695</v>
      </c>
      <c r="R82" s="7">
        <v>7002</v>
      </c>
      <c r="S82" s="7">
        <f t="shared" si="5"/>
        <v>160.90909090909091</v>
      </c>
      <c r="T82" s="7">
        <f t="shared" si="4"/>
        <v>43.515254237288133</v>
      </c>
      <c r="U82" s="7">
        <v>52.22</v>
      </c>
    </row>
    <row r="83" spans="3:22" x14ac:dyDescent="0.2">
      <c r="C83" s="10">
        <v>80</v>
      </c>
      <c r="D83" s="4" t="s">
        <v>70</v>
      </c>
      <c r="E83" s="4" t="s">
        <v>36</v>
      </c>
      <c r="F83" s="6">
        <v>45832</v>
      </c>
      <c r="G83" s="4" t="s">
        <v>42</v>
      </c>
      <c r="H83" s="4" t="s">
        <v>32</v>
      </c>
      <c r="I83" s="4" t="s">
        <v>88</v>
      </c>
      <c r="J83" s="4" t="s">
        <v>89</v>
      </c>
      <c r="K83" s="4" t="s">
        <v>90</v>
      </c>
      <c r="L83" s="7">
        <v>3.52</v>
      </c>
      <c r="M83" s="7">
        <v>4.6120000000000001</v>
      </c>
      <c r="N83" s="7">
        <v>-0.57999999999999963</v>
      </c>
      <c r="O83" s="7">
        <v>-9.7478991596638593</v>
      </c>
      <c r="P83" s="7">
        <v>-1.3380000000000001</v>
      </c>
      <c r="Q83" s="7">
        <v>-22.487394957983195</v>
      </c>
      <c r="R83" s="7">
        <v>7416</v>
      </c>
      <c r="S83" s="7">
        <f t="shared" si="5"/>
        <v>160</v>
      </c>
      <c r="T83" s="7">
        <f t="shared" si="4"/>
        <v>46.35</v>
      </c>
      <c r="U83" s="7">
        <v>51.5</v>
      </c>
    </row>
    <row r="84" spans="3:22" x14ac:dyDescent="0.2">
      <c r="C84" s="10">
        <v>81</v>
      </c>
      <c r="D84" s="4" t="s">
        <v>71</v>
      </c>
      <c r="E84" s="4" t="s">
        <v>36</v>
      </c>
      <c r="F84" s="6">
        <v>45832</v>
      </c>
      <c r="G84" s="4" t="s">
        <v>42</v>
      </c>
      <c r="H84" s="4" t="s">
        <v>33</v>
      </c>
      <c r="I84" s="4" t="s">
        <v>88</v>
      </c>
      <c r="J84" s="4" t="s">
        <v>89</v>
      </c>
      <c r="K84" s="4" t="s">
        <v>90</v>
      </c>
      <c r="L84" s="7">
        <v>3.5</v>
      </c>
      <c r="M84" s="7">
        <v>4.3079999999999998</v>
      </c>
      <c r="N84" s="7">
        <v>-0.57000000000000028</v>
      </c>
      <c r="O84" s="7">
        <v>-9.5349615255938485</v>
      </c>
      <c r="P84" s="7">
        <v>-1.67</v>
      </c>
      <c r="Q84" s="7">
        <v>-27.935764469722312</v>
      </c>
      <c r="R84" s="8">
        <v>7522</v>
      </c>
      <c r="S84" s="7">
        <f t="shared" si="5"/>
        <v>159.09090909090909</v>
      </c>
      <c r="T84" s="7">
        <f t="shared" si="4"/>
        <v>47.281142857142854</v>
      </c>
      <c r="U84" s="8">
        <v>54.42</v>
      </c>
      <c r="V84" s="2"/>
    </row>
    <row r="85" spans="3:22" x14ac:dyDescent="0.2">
      <c r="C85" s="10">
        <v>82</v>
      </c>
      <c r="D85" s="4" t="s">
        <v>71</v>
      </c>
      <c r="E85" s="4" t="s">
        <v>36</v>
      </c>
      <c r="F85" s="6">
        <v>45832</v>
      </c>
      <c r="G85" s="4" t="s">
        <v>42</v>
      </c>
      <c r="H85" s="4" t="s">
        <v>33</v>
      </c>
      <c r="I85" s="4" t="s">
        <v>88</v>
      </c>
      <c r="J85" s="4" t="s">
        <v>89</v>
      </c>
      <c r="K85" s="4" t="s">
        <v>90</v>
      </c>
      <c r="L85" s="7">
        <v>3.58</v>
      </c>
      <c r="M85" s="7">
        <v>4.3230000000000004</v>
      </c>
      <c r="N85" s="7">
        <v>-0.47999999999999954</v>
      </c>
      <c r="O85" s="7">
        <v>-8.0536912751677772</v>
      </c>
      <c r="P85" s="7">
        <v>-1.6369999999999996</v>
      </c>
      <c r="Q85" s="7">
        <v>-27.466442953020128</v>
      </c>
      <c r="R85" s="7">
        <v>7300</v>
      </c>
      <c r="S85" s="7">
        <f t="shared" si="5"/>
        <v>162.72727272727272</v>
      </c>
      <c r="T85" s="7">
        <f t="shared" si="4"/>
        <v>44.86033519553073</v>
      </c>
      <c r="U85" s="7">
        <v>55.25</v>
      </c>
    </row>
    <row r="86" spans="3:22" x14ac:dyDescent="0.2">
      <c r="C86" s="10">
        <v>83</v>
      </c>
      <c r="D86" s="4" t="s">
        <v>71</v>
      </c>
      <c r="E86" s="4" t="s">
        <v>36</v>
      </c>
      <c r="F86" s="6">
        <v>45832</v>
      </c>
      <c r="G86" s="4" t="s">
        <v>42</v>
      </c>
      <c r="H86" s="4" t="s">
        <v>33</v>
      </c>
      <c r="I86" s="4" t="s">
        <v>88</v>
      </c>
      <c r="J86" s="4" t="s">
        <v>89</v>
      </c>
      <c r="K86" s="4" t="s">
        <v>90</v>
      </c>
      <c r="L86" s="7">
        <v>3.58</v>
      </c>
      <c r="M86" s="7">
        <v>4.2779999999999996</v>
      </c>
      <c r="N86" s="7">
        <v>-0.46999999999999975</v>
      </c>
      <c r="O86" s="7">
        <v>-7.8411745078411714</v>
      </c>
      <c r="P86" s="7">
        <v>-1.7160000000000002</v>
      </c>
      <c r="Q86" s="7">
        <v>-28.628628628628633</v>
      </c>
      <c r="R86" s="7">
        <v>7945</v>
      </c>
      <c r="S86" s="7">
        <f t="shared" si="5"/>
        <v>162.72727272727272</v>
      </c>
      <c r="T86" s="7">
        <f t="shared" si="4"/>
        <v>48.824022346368714</v>
      </c>
      <c r="U86" s="7">
        <v>55.74</v>
      </c>
    </row>
    <row r="87" spans="3:22" x14ac:dyDescent="0.2">
      <c r="C87" s="10">
        <v>84</v>
      </c>
      <c r="D87" s="4" t="s">
        <v>71</v>
      </c>
      <c r="E87" s="4" t="s">
        <v>36</v>
      </c>
      <c r="F87" s="6">
        <v>45832</v>
      </c>
      <c r="G87" s="4" t="s">
        <v>42</v>
      </c>
      <c r="H87" s="4" t="s">
        <v>33</v>
      </c>
      <c r="I87" s="4" t="s">
        <v>88</v>
      </c>
      <c r="J87" s="4" t="s">
        <v>89</v>
      </c>
      <c r="K87" s="4" t="s">
        <v>90</v>
      </c>
      <c r="L87" s="7">
        <v>3.54</v>
      </c>
      <c r="M87" s="7">
        <v>4.3150000000000004</v>
      </c>
      <c r="N87" s="7">
        <v>-0.54</v>
      </c>
      <c r="O87" s="7">
        <v>-9.0255724552899892</v>
      </c>
      <c r="P87" s="7">
        <v>-1.6679999999999993</v>
      </c>
      <c r="Q87" s="7">
        <v>-27.878990473006844</v>
      </c>
      <c r="R87" s="7">
        <v>7558</v>
      </c>
      <c r="S87" s="7">
        <f t="shared" si="5"/>
        <v>160.90909090909091</v>
      </c>
      <c r="T87" s="7">
        <f t="shared" si="4"/>
        <v>46.970621468926552</v>
      </c>
      <c r="U87" s="7">
        <v>54.88</v>
      </c>
    </row>
    <row r="88" spans="3:22" x14ac:dyDescent="0.2">
      <c r="C88" s="10">
        <v>85</v>
      </c>
      <c r="D88" s="4" t="s">
        <v>71</v>
      </c>
      <c r="E88" s="4" t="s">
        <v>36</v>
      </c>
      <c r="F88" s="6">
        <v>45832</v>
      </c>
      <c r="G88" s="4" t="s">
        <v>42</v>
      </c>
      <c r="H88" s="4" t="s">
        <v>33</v>
      </c>
      <c r="I88" s="4" t="s">
        <v>88</v>
      </c>
      <c r="J88" s="4" t="s">
        <v>89</v>
      </c>
      <c r="K88" s="4" t="s">
        <v>90</v>
      </c>
      <c r="L88" s="7">
        <v>3.45</v>
      </c>
      <c r="M88" s="7">
        <v>3.702</v>
      </c>
      <c r="N88" s="7">
        <v>-0.63999999999999968</v>
      </c>
      <c r="O88" s="7">
        <v>-10.698762955533262</v>
      </c>
      <c r="P88" s="7">
        <v>-2.2800000000000002</v>
      </c>
      <c r="Q88" s="7">
        <v>-38.114343029087266</v>
      </c>
      <c r="R88" s="7">
        <v>7383</v>
      </c>
      <c r="S88" s="7">
        <f t="shared" si="5"/>
        <v>156.81818181818184</v>
      </c>
      <c r="T88" s="7">
        <f t="shared" si="4"/>
        <v>47.079999999999991</v>
      </c>
      <c r="U88" s="7">
        <v>60.31</v>
      </c>
    </row>
    <row r="89" spans="3:22" x14ac:dyDescent="0.2">
      <c r="C89" s="10">
        <v>86</v>
      </c>
      <c r="D89" s="4" t="s">
        <v>71</v>
      </c>
      <c r="E89" s="4" t="s">
        <v>36</v>
      </c>
      <c r="F89" s="6">
        <v>45832</v>
      </c>
      <c r="G89" s="4" t="s">
        <v>42</v>
      </c>
      <c r="H89" s="4" t="s">
        <v>33</v>
      </c>
      <c r="I89" s="4" t="s">
        <v>88</v>
      </c>
      <c r="J89" s="4" t="s">
        <v>89</v>
      </c>
      <c r="K89" s="4" t="s">
        <v>90</v>
      </c>
      <c r="L89" s="7">
        <v>3.47</v>
      </c>
      <c r="M89" s="7">
        <v>4.226</v>
      </c>
      <c r="N89" s="7">
        <v>-0.60000000000000009</v>
      </c>
      <c r="O89" s="7">
        <v>-10.058675607711653</v>
      </c>
      <c r="P89" s="7">
        <v>-1.7389999999999999</v>
      </c>
      <c r="Q89" s="7">
        <v>-29.153394803017601</v>
      </c>
      <c r="R89" s="7">
        <v>7193</v>
      </c>
      <c r="S89" s="7">
        <f t="shared" si="5"/>
        <v>157.72727272727275</v>
      </c>
      <c r="T89" s="7">
        <f t="shared" si="4"/>
        <v>45.604034582132556</v>
      </c>
      <c r="U89" s="7">
        <v>54.94</v>
      </c>
    </row>
    <row r="90" spans="3:22" x14ac:dyDescent="0.2">
      <c r="C90" s="10">
        <v>87</v>
      </c>
      <c r="D90" s="4" t="s">
        <v>72</v>
      </c>
      <c r="E90" s="4" t="s">
        <v>36</v>
      </c>
      <c r="F90" s="6">
        <v>45832</v>
      </c>
      <c r="G90" s="4" t="s">
        <v>42</v>
      </c>
      <c r="H90" s="4" t="s">
        <v>34</v>
      </c>
      <c r="I90" s="4" t="s">
        <v>88</v>
      </c>
      <c r="J90" s="4" t="s">
        <v>89</v>
      </c>
      <c r="K90" s="4" t="s">
        <v>90</v>
      </c>
      <c r="L90" s="7">
        <v>3.52</v>
      </c>
      <c r="M90" s="7">
        <v>4.2389999999999999</v>
      </c>
      <c r="N90" s="7">
        <v>-0.52</v>
      </c>
      <c r="O90" s="7">
        <v>-8.6883876357560563</v>
      </c>
      <c r="P90" s="7">
        <v>-1.7460000000000004</v>
      </c>
      <c r="Q90" s="7">
        <v>-29.172932330827074</v>
      </c>
      <c r="R90" s="8">
        <v>8320</v>
      </c>
      <c r="S90" s="7">
        <f t="shared" si="5"/>
        <v>160</v>
      </c>
      <c r="T90" s="7">
        <f t="shared" si="4"/>
        <v>52</v>
      </c>
      <c r="U90" s="8">
        <v>55.39</v>
      </c>
      <c r="V90" s="2"/>
    </row>
    <row r="91" spans="3:22" x14ac:dyDescent="0.2">
      <c r="C91" s="10">
        <v>88</v>
      </c>
      <c r="D91" s="4" t="s">
        <v>72</v>
      </c>
      <c r="E91" s="4" t="s">
        <v>36</v>
      </c>
      <c r="F91" s="6">
        <v>45832</v>
      </c>
      <c r="G91" s="4" t="s">
        <v>42</v>
      </c>
      <c r="H91" s="4" t="s">
        <v>34</v>
      </c>
      <c r="I91" s="4" t="s">
        <v>88</v>
      </c>
      <c r="J91" s="4" t="s">
        <v>89</v>
      </c>
      <c r="K91" s="4" t="s">
        <v>90</v>
      </c>
      <c r="L91" s="7">
        <v>3.5</v>
      </c>
      <c r="M91" s="7">
        <v>3.8479999999999999</v>
      </c>
      <c r="N91" s="7">
        <v>-0.54</v>
      </c>
      <c r="O91" s="7">
        <v>-9.0270812437311942</v>
      </c>
      <c r="P91" s="7">
        <v>-2.1340000000000003</v>
      </c>
      <c r="Q91" s="7">
        <v>-35.67368772985624</v>
      </c>
      <c r="R91" s="7">
        <v>8986</v>
      </c>
      <c r="S91" s="7">
        <f t="shared" si="5"/>
        <v>159.09090909090909</v>
      </c>
      <c r="T91" s="7">
        <f t="shared" si="4"/>
        <v>56.483428571428568</v>
      </c>
      <c r="U91" s="7">
        <v>59.28</v>
      </c>
    </row>
    <row r="92" spans="3:22" x14ac:dyDescent="0.2">
      <c r="C92" s="10">
        <v>89</v>
      </c>
      <c r="D92" s="4" t="s">
        <v>72</v>
      </c>
      <c r="E92" s="4" t="s">
        <v>36</v>
      </c>
      <c r="F92" s="6">
        <v>45832</v>
      </c>
      <c r="G92" s="4" t="s">
        <v>42</v>
      </c>
      <c r="H92" s="4" t="s">
        <v>34</v>
      </c>
      <c r="I92" s="4" t="s">
        <v>88</v>
      </c>
      <c r="J92" s="4" t="s">
        <v>89</v>
      </c>
      <c r="K92" s="4" t="s">
        <v>90</v>
      </c>
      <c r="L92" s="7">
        <v>3.48</v>
      </c>
      <c r="M92" s="7">
        <v>3.8029999999999999</v>
      </c>
      <c r="N92" s="7">
        <v>-0.57999999999999963</v>
      </c>
      <c r="O92" s="7">
        <v>-9.660226515656225</v>
      </c>
      <c r="P92" s="7">
        <v>-2.2009999999999996</v>
      </c>
      <c r="Q92" s="7">
        <v>-36.658894070619588</v>
      </c>
      <c r="R92" s="7">
        <v>8697</v>
      </c>
      <c r="S92" s="7">
        <f t="shared" si="5"/>
        <v>158.18181818181819</v>
      </c>
      <c r="T92" s="7">
        <f t="shared" si="4"/>
        <v>54.981034482758616</v>
      </c>
      <c r="U92" s="7">
        <v>59.47</v>
      </c>
    </row>
    <row r="93" spans="3:22" x14ac:dyDescent="0.2">
      <c r="C93" s="10">
        <v>90</v>
      </c>
      <c r="D93" s="4" t="s">
        <v>72</v>
      </c>
      <c r="E93" s="4" t="s">
        <v>36</v>
      </c>
      <c r="F93" s="6">
        <v>45832</v>
      </c>
      <c r="G93" s="4" t="s">
        <v>42</v>
      </c>
      <c r="H93" s="4" t="s">
        <v>34</v>
      </c>
      <c r="I93" s="4" t="s">
        <v>88</v>
      </c>
      <c r="J93" s="4" t="s">
        <v>89</v>
      </c>
      <c r="K93" s="4" t="s">
        <v>90</v>
      </c>
      <c r="L93" s="7">
        <v>3.52</v>
      </c>
      <c r="M93" s="7">
        <v>3.0830000000000002</v>
      </c>
      <c r="N93" s="7">
        <v>-0.55000000000000027</v>
      </c>
      <c r="O93" s="7">
        <v>-9.1483699268130447</v>
      </c>
      <c r="P93" s="7">
        <v>-2.9289999999999994</v>
      </c>
      <c r="Q93" s="7">
        <v>-48.719228210246172</v>
      </c>
      <c r="R93" s="7">
        <v>9096</v>
      </c>
      <c r="S93" s="7">
        <f t="shared" si="5"/>
        <v>160</v>
      </c>
      <c r="T93" s="7">
        <f t="shared" ref="T93:T137" si="6">R93/S93</f>
        <v>56.85</v>
      </c>
      <c r="U93" s="7">
        <v>59.99</v>
      </c>
    </row>
    <row r="94" spans="3:22" x14ac:dyDescent="0.2">
      <c r="C94" s="10">
        <v>91</v>
      </c>
      <c r="D94" s="4" t="s">
        <v>72</v>
      </c>
      <c r="E94" s="4" t="s">
        <v>36</v>
      </c>
      <c r="F94" s="6">
        <v>45832</v>
      </c>
      <c r="G94" s="4" t="s">
        <v>42</v>
      </c>
      <c r="H94" s="4" t="s">
        <v>34</v>
      </c>
      <c r="I94" s="4" t="s">
        <v>88</v>
      </c>
      <c r="J94" s="4" t="s">
        <v>89</v>
      </c>
      <c r="K94" s="4" t="s">
        <v>90</v>
      </c>
      <c r="L94" s="7">
        <v>3.46</v>
      </c>
      <c r="M94" s="7">
        <v>3.8</v>
      </c>
      <c r="N94" s="7">
        <v>-0.62000000000000011</v>
      </c>
      <c r="O94" s="7">
        <v>-10.413167618407796</v>
      </c>
      <c r="P94" s="7">
        <v>-2.1539999999999999</v>
      </c>
      <c r="Q94" s="7">
        <v>-36.177359758145784</v>
      </c>
      <c r="R94" s="7">
        <v>8522</v>
      </c>
      <c r="S94" s="7">
        <f t="shared" si="5"/>
        <v>157.27272727272725</v>
      </c>
      <c r="T94" s="7">
        <f t="shared" si="6"/>
        <v>54.186127167630062</v>
      </c>
      <c r="U94" s="7">
        <v>59.34</v>
      </c>
    </row>
    <row r="95" spans="3:22" x14ac:dyDescent="0.2">
      <c r="C95" s="10">
        <v>92</v>
      </c>
      <c r="D95" s="4" t="s">
        <v>72</v>
      </c>
      <c r="E95" s="4" t="s">
        <v>36</v>
      </c>
      <c r="F95" s="6">
        <v>45832</v>
      </c>
      <c r="G95" s="4" t="s">
        <v>42</v>
      </c>
      <c r="H95" s="4" t="s">
        <v>34</v>
      </c>
      <c r="I95" s="4" t="s">
        <v>88</v>
      </c>
      <c r="J95" s="4" t="s">
        <v>89</v>
      </c>
      <c r="K95" s="4" t="s">
        <v>90</v>
      </c>
      <c r="L95" s="7">
        <v>3.52</v>
      </c>
      <c r="M95" s="7">
        <v>3.7690000000000001</v>
      </c>
      <c r="N95" s="7">
        <v>-0.55000000000000027</v>
      </c>
      <c r="O95" s="7">
        <v>-9.1605596269153953</v>
      </c>
      <c r="P95" s="7">
        <v>-2.2349999999999994</v>
      </c>
      <c r="Q95" s="7">
        <v>-37.22518321119253</v>
      </c>
      <c r="R95" s="8">
        <v>8354</v>
      </c>
      <c r="S95" s="7">
        <f t="shared" si="5"/>
        <v>160</v>
      </c>
      <c r="T95" s="7">
        <f t="shared" si="6"/>
        <v>52.212499999999999</v>
      </c>
      <c r="U95" s="8">
        <v>60.34</v>
      </c>
      <c r="V95" s="2"/>
    </row>
    <row r="96" spans="3:22" x14ac:dyDescent="0.2">
      <c r="C96" s="10">
        <v>93</v>
      </c>
      <c r="D96" s="4" t="s">
        <v>73</v>
      </c>
      <c r="E96" s="4" t="s">
        <v>36</v>
      </c>
      <c r="F96" s="6">
        <v>45855</v>
      </c>
      <c r="G96" s="4" t="s">
        <v>42</v>
      </c>
      <c r="H96" s="4" t="s">
        <v>48</v>
      </c>
      <c r="I96" s="4" t="s">
        <v>88</v>
      </c>
      <c r="J96" s="4" t="s">
        <v>89</v>
      </c>
      <c r="K96" s="4" t="s">
        <v>90</v>
      </c>
      <c r="L96" s="7">
        <v>3.53</v>
      </c>
      <c r="M96" s="7">
        <v>5.4029999999999996</v>
      </c>
      <c r="N96" s="7">
        <v>-0.4700000000000002</v>
      </c>
      <c r="O96" s="7">
        <v>-11.750000000000005</v>
      </c>
      <c r="P96" s="7">
        <v>-0.47800000000000065</v>
      </c>
      <c r="Q96" s="7">
        <v>-8.127869409964303</v>
      </c>
      <c r="R96" s="7">
        <v>4170</v>
      </c>
      <c r="S96" s="7">
        <f t="shared" si="5"/>
        <v>160.45454545454544</v>
      </c>
      <c r="T96" s="7">
        <f t="shared" si="6"/>
        <v>25.988668555240796</v>
      </c>
      <c r="U96" s="7">
        <v>43.27</v>
      </c>
    </row>
    <row r="97" spans="3:21" x14ac:dyDescent="0.2">
      <c r="C97" s="10">
        <v>94</v>
      </c>
      <c r="D97" s="4" t="s">
        <v>73</v>
      </c>
      <c r="E97" s="4" t="s">
        <v>36</v>
      </c>
      <c r="F97" s="6">
        <v>45855</v>
      </c>
      <c r="G97" s="4" t="s">
        <v>42</v>
      </c>
      <c r="H97" s="4" t="s">
        <v>48</v>
      </c>
      <c r="I97" s="4" t="s">
        <v>88</v>
      </c>
      <c r="J97" s="4" t="s">
        <v>89</v>
      </c>
      <c r="K97" s="4" t="s">
        <v>90</v>
      </c>
      <c r="L97" s="7">
        <v>3.63</v>
      </c>
      <c r="M97" s="7">
        <v>5.3949999999999996</v>
      </c>
      <c r="N97" s="7">
        <v>-0.37000000000000011</v>
      </c>
      <c r="O97" s="7">
        <v>-9.2500000000000036</v>
      </c>
      <c r="P97" s="7">
        <v>-0.49199999999999999</v>
      </c>
      <c r="Q97" s="7">
        <v>-8.3573976558518783</v>
      </c>
      <c r="R97" s="7">
        <v>4203</v>
      </c>
      <c r="S97" s="7">
        <f t="shared" si="5"/>
        <v>165</v>
      </c>
      <c r="T97" s="7">
        <f t="shared" si="6"/>
        <v>25.472727272727273</v>
      </c>
      <c r="U97" s="7">
        <v>44.9</v>
      </c>
    </row>
    <row r="98" spans="3:21" x14ac:dyDescent="0.2">
      <c r="C98" s="10">
        <v>95</v>
      </c>
      <c r="D98" s="4" t="s">
        <v>73</v>
      </c>
      <c r="E98" s="4" t="s">
        <v>36</v>
      </c>
      <c r="F98" s="6">
        <v>45855</v>
      </c>
      <c r="G98" s="4" t="s">
        <v>42</v>
      </c>
      <c r="H98" s="4" t="s">
        <v>48</v>
      </c>
      <c r="I98" s="4" t="s">
        <v>88</v>
      </c>
      <c r="J98" s="4" t="s">
        <v>89</v>
      </c>
      <c r="K98" s="4" t="s">
        <v>90</v>
      </c>
      <c r="L98" s="7">
        <v>3.55</v>
      </c>
      <c r="M98" s="7">
        <v>5.3890000000000002</v>
      </c>
      <c r="N98" s="7">
        <v>-0.45000000000000018</v>
      </c>
      <c r="O98" s="7">
        <v>-11.250000000000004</v>
      </c>
      <c r="P98" s="7">
        <v>-0.49099999999999966</v>
      </c>
      <c r="Q98" s="7">
        <v>-8.3503401360544149</v>
      </c>
      <c r="R98" s="7">
        <v>4233</v>
      </c>
      <c r="S98" s="7">
        <f t="shared" si="5"/>
        <v>161.36363636363635</v>
      </c>
      <c r="T98" s="7">
        <f t="shared" si="6"/>
        <v>26.232676056338033</v>
      </c>
      <c r="U98" s="7">
        <v>43.85</v>
      </c>
    </row>
    <row r="99" spans="3:21" x14ac:dyDescent="0.2">
      <c r="C99" s="10">
        <v>96</v>
      </c>
      <c r="D99" s="4" t="s">
        <v>73</v>
      </c>
      <c r="E99" s="4" t="s">
        <v>36</v>
      </c>
      <c r="F99" s="6">
        <v>45855</v>
      </c>
      <c r="G99" s="4" t="s">
        <v>42</v>
      </c>
      <c r="H99" s="4" t="s">
        <v>48</v>
      </c>
      <c r="I99" s="4" t="s">
        <v>88</v>
      </c>
      <c r="J99" s="4" t="s">
        <v>89</v>
      </c>
      <c r="K99" s="4" t="s">
        <v>90</v>
      </c>
      <c r="L99" s="7">
        <v>3.5</v>
      </c>
      <c r="M99" s="7">
        <v>5.4370000000000003</v>
      </c>
      <c r="N99" s="7">
        <v>-0.5</v>
      </c>
      <c r="O99" s="7">
        <v>-12.5</v>
      </c>
      <c r="P99" s="7">
        <v>-0.47299999999999986</v>
      </c>
      <c r="Q99" s="7">
        <v>-8.0033840947546508</v>
      </c>
      <c r="R99" s="7">
        <v>4296</v>
      </c>
      <c r="S99" s="7">
        <f t="shared" si="5"/>
        <v>159.09090909090909</v>
      </c>
      <c r="T99" s="7">
        <f t="shared" si="6"/>
        <v>27.003428571428572</v>
      </c>
      <c r="U99" s="7">
        <v>42.47</v>
      </c>
    </row>
    <row r="100" spans="3:21" x14ac:dyDescent="0.2">
      <c r="C100" s="10">
        <v>97</v>
      </c>
      <c r="D100" s="4" t="s">
        <v>73</v>
      </c>
      <c r="E100" s="4" t="s">
        <v>36</v>
      </c>
      <c r="F100" s="6">
        <v>45855</v>
      </c>
      <c r="G100" s="4" t="s">
        <v>42</v>
      </c>
      <c r="H100" s="4" t="s">
        <v>48</v>
      </c>
      <c r="I100" s="4" t="s">
        <v>88</v>
      </c>
      <c r="J100" s="4" t="s">
        <v>89</v>
      </c>
      <c r="K100" s="4" t="s">
        <v>90</v>
      </c>
      <c r="L100" s="7">
        <v>3.49</v>
      </c>
      <c r="M100" s="7">
        <v>5.3680000000000003</v>
      </c>
      <c r="N100" s="7">
        <v>-0.50999999999999979</v>
      </c>
      <c r="O100" s="7">
        <v>-12.749999999999995</v>
      </c>
      <c r="P100" s="7">
        <v>-0.47799999999999976</v>
      </c>
      <c r="Q100" s="7">
        <v>-8.1765309613410828</v>
      </c>
      <c r="R100" s="7">
        <v>3756</v>
      </c>
      <c r="S100" s="7">
        <f t="shared" si="5"/>
        <v>158.63636363636365</v>
      </c>
      <c r="T100" s="7">
        <f t="shared" si="6"/>
        <v>23.676790830945556</v>
      </c>
      <c r="U100" s="7">
        <v>43.08</v>
      </c>
    </row>
    <row r="101" spans="3:21" x14ac:dyDescent="0.2">
      <c r="C101" s="10">
        <v>98</v>
      </c>
      <c r="D101" s="4" t="s">
        <v>73</v>
      </c>
      <c r="E101" s="4" t="s">
        <v>36</v>
      </c>
      <c r="F101" s="6">
        <v>45855</v>
      </c>
      <c r="G101" s="4" t="s">
        <v>42</v>
      </c>
      <c r="H101" s="4" t="s">
        <v>48</v>
      </c>
      <c r="I101" s="4" t="s">
        <v>88</v>
      </c>
      <c r="J101" s="4" t="s">
        <v>89</v>
      </c>
      <c r="K101" s="4" t="s">
        <v>90</v>
      </c>
      <c r="L101" s="7">
        <v>3.45</v>
      </c>
      <c r="M101" s="7">
        <v>5.4180000000000001</v>
      </c>
      <c r="N101" s="7">
        <v>-0.54999999999999982</v>
      </c>
      <c r="O101" s="7">
        <v>-13.749999999999996</v>
      </c>
      <c r="P101" s="7">
        <v>-0.45500000000000007</v>
      </c>
      <c r="Q101" s="7">
        <v>-7.7473182359952331</v>
      </c>
      <c r="R101" s="7">
        <v>4090</v>
      </c>
      <c r="S101" s="7">
        <f t="shared" si="5"/>
        <v>156.81818181818184</v>
      </c>
      <c r="T101" s="7">
        <f t="shared" si="6"/>
        <v>26.08115942028985</v>
      </c>
      <c r="U101" s="7">
        <v>41.9</v>
      </c>
    </row>
    <row r="102" spans="3:21" x14ac:dyDescent="0.2">
      <c r="C102" s="10">
        <v>99</v>
      </c>
      <c r="D102" s="4" t="s">
        <v>74</v>
      </c>
      <c r="E102" s="4" t="s">
        <v>36</v>
      </c>
      <c r="F102" s="6">
        <v>45855</v>
      </c>
      <c r="G102" s="4" t="s">
        <v>42</v>
      </c>
      <c r="H102" s="4" t="s">
        <v>48</v>
      </c>
      <c r="I102" s="4" t="s">
        <v>88</v>
      </c>
      <c r="J102" s="4" t="s">
        <v>89</v>
      </c>
      <c r="K102" s="4" t="s">
        <v>90</v>
      </c>
      <c r="L102" s="7">
        <v>3.51</v>
      </c>
      <c r="M102" s="7">
        <v>5.4139999999999997</v>
      </c>
      <c r="N102" s="7">
        <v>-0.49000000000000021</v>
      </c>
      <c r="O102" s="7">
        <v>-8.3107191316146576</v>
      </c>
      <c r="P102" s="7">
        <v>-0.48200000000000021</v>
      </c>
      <c r="Q102" s="7">
        <v>-8.1750339213025818</v>
      </c>
      <c r="R102" s="7">
        <v>4069</v>
      </c>
      <c r="S102" s="7">
        <f t="shared" si="5"/>
        <v>159.54545454545453</v>
      </c>
      <c r="T102" s="7">
        <f t="shared" si="6"/>
        <v>25.503703703703707</v>
      </c>
      <c r="U102" s="7">
        <v>42.84</v>
      </c>
    </row>
    <row r="103" spans="3:21" x14ac:dyDescent="0.2">
      <c r="C103" s="10">
        <v>100</v>
      </c>
      <c r="D103" s="4" t="s">
        <v>74</v>
      </c>
      <c r="E103" s="4" t="s">
        <v>36</v>
      </c>
      <c r="F103" s="6">
        <v>45855</v>
      </c>
      <c r="G103" s="4" t="s">
        <v>42</v>
      </c>
      <c r="H103" s="4" t="s">
        <v>48</v>
      </c>
      <c r="I103" s="4" t="s">
        <v>88</v>
      </c>
      <c r="J103" s="4" t="s">
        <v>89</v>
      </c>
      <c r="K103" s="4" t="s">
        <v>90</v>
      </c>
      <c r="L103" s="7">
        <v>3.48</v>
      </c>
      <c r="M103" s="7">
        <v>5.3760000000000003</v>
      </c>
      <c r="N103" s="7">
        <v>-0.52</v>
      </c>
      <c r="O103" s="7">
        <v>-8.8616223585548735</v>
      </c>
      <c r="P103" s="7">
        <v>-0.49199999999999999</v>
      </c>
      <c r="Q103" s="7">
        <v>-8.3844580777096116</v>
      </c>
      <c r="R103" s="7">
        <v>3956</v>
      </c>
      <c r="S103" s="7">
        <f t="shared" si="5"/>
        <v>158.18181818181819</v>
      </c>
      <c r="T103" s="7">
        <f t="shared" si="6"/>
        <v>25.00919540229885</v>
      </c>
      <c r="U103" s="7">
        <v>42.8</v>
      </c>
    </row>
    <row r="104" spans="3:21" x14ac:dyDescent="0.2">
      <c r="C104" s="10">
        <v>101</v>
      </c>
      <c r="D104" s="4" t="s">
        <v>74</v>
      </c>
      <c r="E104" s="4" t="s">
        <v>36</v>
      </c>
      <c r="F104" s="6">
        <v>45855</v>
      </c>
      <c r="G104" s="4" t="s">
        <v>42</v>
      </c>
      <c r="H104" s="4" t="s">
        <v>48</v>
      </c>
      <c r="I104" s="4" t="s">
        <v>88</v>
      </c>
      <c r="J104" s="4" t="s">
        <v>89</v>
      </c>
      <c r="K104" s="4" t="s">
        <v>90</v>
      </c>
      <c r="L104" s="7">
        <v>3.47</v>
      </c>
      <c r="M104" s="7">
        <v>5.4370000000000003</v>
      </c>
      <c r="N104" s="7">
        <v>-0.5299999999999998</v>
      </c>
      <c r="O104" s="7">
        <v>-8.9617855935069297</v>
      </c>
      <c r="P104" s="7">
        <v>-0.47699999999999942</v>
      </c>
      <c r="Q104" s="7">
        <v>-8.0656070341562298</v>
      </c>
      <c r="R104" s="7">
        <v>4174</v>
      </c>
      <c r="S104" s="7">
        <f t="shared" si="5"/>
        <v>157.72727272727275</v>
      </c>
      <c r="T104" s="7">
        <f t="shared" si="6"/>
        <v>26.463400576368873</v>
      </c>
      <c r="U104" s="7">
        <v>41.94</v>
      </c>
    </row>
    <row r="105" spans="3:21" x14ac:dyDescent="0.2">
      <c r="C105" s="10">
        <v>102</v>
      </c>
      <c r="D105" s="4" t="s">
        <v>74</v>
      </c>
      <c r="E105" s="4" t="s">
        <v>36</v>
      </c>
      <c r="F105" s="6">
        <v>45855</v>
      </c>
      <c r="G105" s="4" t="s">
        <v>42</v>
      </c>
      <c r="H105" s="4" t="s">
        <v>48</v>
      </c>
      <c r="I105" s="4" t="s">
        <v>88</v>
      </c>
      <c r="J105" s="4" t="s">
        <v>89</v>
      </c>
      <c r="K105" s="4" t="s">
        <v>90</v>
      </c>
      <c r="L105" s="7">
        <v>3.39</v>
      </c>
      <c r="M105" s="7">
        <v>5.4980000000000002</v>
      </c>
      <c r="N105" s="7">
        <v>-0.60999999999999988</v>
      </c>
      <c r="O105" s="7">
        <v>-10.255548083389373</v>
      </c>
      <c r="P105" s="7">
        <v>-0.45000000000000018</v>
      </c>
      <c r="Q105" s="7">
        <v>-7.5655682582380663</v>
      </c>
      <c r="R105" s="7">
        <v>5050</v>
      </c>
      <c r="S105" s="7">
        <f t="shared" si="5"/>
        <v>154.09090909090909</v>
      </c>
      <c r="T105" s="7">
        <f t="shared" si="6"/>
        <v>32.772861356932154</v>
      </c>
      <c r="U105" s="7">
        <v>40.01</v>
      </c>
    </row>
    <row r="106" spans="3:21" x14ac:dyDescent="0.2">
      <c r="C106" s="10">
        <v>103</v>
      </c>
      <c r="D106" s="4" t="s">
        <v>74</v>
      </c>
      <c r="E106" s="4" t="s">
        <v>36</v>
      </c>
      <c r="F106" s="6">
        <v>45855</v>
      </c>
      <c r="G106" s="4" t="s">
        <v>42</v>
      </c>
      <c r="H106" s="4" t="s">
        <v>48</v>
      </c>
      <c r="I106" s="4" t="s">
        <v>88</v>
      </c>
      <c r="J106" s="4" t="s">
        <v>89</v>
      </c>
      <c r="K106" s="4" t="s">
        <v>90</v>
      </c>
      <c r="L106" s="7">
        <v>3.37</v>
      </c>
      <c r="M106" s="7">
        <v>5.4720000000000004</v>
      </c>
      <c r="N106" s="7">
        <v>-0.62999999999999989</v>
      </c>
      <c r="O106" s="7">
        <v>-10.632911392405061</v>
      </c>
      <c r="P106" s="7">
        <v>-0.4529999999999994</v>
      </c>
      <c r="Q106" s="7">
        <v>-7.6455696202531547</v>
      </c>
      <c r="R106" s="7">
        <v>4905</v>
      </c>
      <c r="S106" s="7">
        <f t="shared" si="5"/>
        <v>153.18181818181819</v>
      </c>
      <c r="T106" s="7">
        <f t="shared" si="6"/>
        <v>32.020771513353118</v>
      </c>
      <c r="U106" s="7">
        <v>39.85</v>
      </c>
    </row>
    <row r="107" spans="3:21" x14ac:dyDescent="0.2">
      <c r="C107" s="10">
        <v>104</v>
      </c>
      <c r="D107" s="4" t="s">
        <v>74</v>
      </c>
      <c r="E107" s="4" t="s">
        <v>36</v>
      </c>
      <c r="F107" s="6">
        <v>45855</v>
      </c>
      <c r="G107" s="4" t="s">
        <v>42</v>
      </c>
      <c r="H107" s="4" t="s">
        <v>48</v>
      </c>
      <c r="I107" s="4" t="s">
        <v>88</v>
      </c>
      <c r="J107" s="4" t="s">
        <v>89</v>
      </c>
      <c r="K107" s="4" t="s">
        <v>90</v>
      </c>
      <c r="L107" s="7">
        <v>3.4</v>
      </c>
      <c r="M107" s="7">
        <v>5.5389999999999997</v>
      </c>
      <c r="N107" s="7">
        <v>-0.60000000000000009</v>
      </c>
      <c r="O107" s="7">
        <v>-10.003334444814939</v>
      </c>
      <c r="P107" s="7">
        <v>-0.45900000000000052</v>
      </c>
      <c r="Q107" s="7">
        <v>-7.6525508502834363</v>
      </c>
      <c r="R107" s="7">
        <v>5548</v>
      </c>
      <c r="S107" s="7">
        <f t="shared" si="5"/>
        <v>154.54545454545453</v>
      </c>
      <c r="T107" s="7">
        <f t="shared" si="6"/>
        <v>35.898823529411764</v>
      </c>
      <c r="U107" s="7">
        <v>39.590000000000003</v>
      </c>
    </row>
    <row r="108" spans="3:21" x14ac:dyDescent="0.2">
      <c r="C108" s="10">
        <v>105</v>
      </c>
      <c r="D108" s="4" t="s">
        <v>75</v>
      </c>
      <c r="E108" s="4" t="s">
        <v>36</v>
      </c>
      <c r="F108" s="6">
        <v>45855</v>
      </c>
      <c r="G108" s="4" t="s">
        <v>42</v>
      </c>
      <c r="H108" s="4" t="s">
        <v>34</v>
      </c>
      <c r="I108" s="4" t="s">
        <v>88</v>
      </c>
      <c r="J108" s="4" t="s">
        <v>89</v>
      </c>
      <c r="K108" s="4" t="s">
        <v>90</v>
      </c>
      <c r="L108" s="7">
        <v>3.55</v>
      </c>
      <c r="M108" s="7">
        <v>3.9020000000000001</v>
      </c>
      <c r="N108" s="7">
        <v>-0.41000000000000014</v>
      </c>
      <c r="O108" s="7">
        <v>-6.8401735068401761</v>
      </c>
      <c r="P108" s="7">
        <v>-2.0919999999999996</v>
      </c>
      <c r="Q108" s="7">
        <v>-34.901568234901568</v>
      </c>
      <c r="R108" s="7">
        <v>5063</v>
      </c>
      <c r="S108" s="7">
        <f t="shared" si="5"/>
        <v>161.36363636363635</v>
      </c>
      <c r="T108" s="7">
        <f t="shared" si="6"/>
        <v>31.376338028169016</v>
      </c>
      <c r="U108" s="7">
        <v>59.3</v>
      </c>
    </row>
    <row r="109" spans="3:21" x14ac:dyDescent="0.2">
      <c r="C109" s="10">
        <v>106</v>
      </c>
      <c r="D109" s="4" t="s">
        <v>75</v>
      </c>
      <c r="E109" s="4" t="s">
        <v>36</v>
      </c>
      <c r="F109" s="6">
        <v>45855</v>
      </c>
      <c r="G109" s="4" t="s">
        <v>42</v>
      </c>
      <c r="H109" s="4" t="s">
        <v>34</v>
      </c>
      <c r="I109" s="4" t="s">
        <v>88</v>
      </c>
      <c r="J109" s="4" t="s">
        <v>89</v>
      </c>
      <c r="K109" s="4" t="s">
        <v>90</v>
      </c>
      <c r="L109" s="7">
        <v>3.34</v>
      </c>
      <c r="M109" s="7">
        <v>3.7639999999999998</v>
      </c>
      <c r="N109" s="7">
        <v>-0.62000000000000011</v>
      </c>
      <c r="O109" s="7">
        <v>-10.414916848647742</v>
      </c>
      <c r="P109" s="7">
        <v>-2.1890000000000005</v>
      </c>
      <c r="Q109" s="7">
        <v>-36.771375776919207</v>
      </c>
      <c r="R109" s="7">
        <v>4499</v>
      </c>
      <c r="S109" s="7">
        <f t="shared" si="5"/>
        <v>151.81818181818181</v>
      </c>
      <c r="T109" s="7">
        <f t="shared" si="6"/>
        <v>29.634131736526946</v>
      </c>
      <c r="U109" s="7">
        <v>58.29</v>
      </c>
    </row>
    <row r="110" spans="3:21" x14ac:dyDescent="0.2">
      <c r="C110" s="10">
        <v>107</v>
      </c>
      <c r="D110" s="4" t="s">
        <v>75</v>
      </c>
      <c r="E110" s="4" t="s">
        <v>36</v>
      </c>
      <c r="F110" s="6">
        <v>45855</v>
      </c>
      <c r="G110" s="4" t="s">
        <v>42</v>
      </c>
      <c r="H110" s="4" t="s">
        <v>34</v>
      </c>
      <c r="I110" s="4" t="s">
        <v>88</v>
      </c>
      <c r="J110" s="4" t="s">
        <v>89</v>
      </c>
      <c r="K110" s="4" t="s">
        <v>90</v>
      </c>
      <c r="L110" s="7">
        <v>3.4</v>
      </c>
      <c r="M110" s="7">
        <v>3.8929999999999998</v>
      </c>
      <c r="N110" s="7">
        <v>-0.56000000000000005</v>
      </c>
      <c r="O110" s="7">
        <v>-9.3629827787995339</v>
      </c>
      <c r="P110" s="7">
        <v>-2.0880000000000001</v>
      </c>
      <c r="Q110" s="7">
        <v>-34.910550075238255</v>
      </c>
      <c r="R110" s="7">
        <v>4667</v>
      </c>
      <c r="S110" s="7">
        <f t="shared" si="5"/>
        <v>154.54545454545453</v>
      </c>
      <c r="T110" s="7">
        <f t="shared" si="6"/>
        <v>30.198235294117648</v>
      </c>
      <c r="U110" s="7">
        <v>57.55</v>
      </c>
    </row>
    <row r="111" spans="3:21" x14ac:dyDescent="0.2">
      <c r="C111" s="10">
        <v>108</v>
      </c>
      <c r="D111" s="4" t="s">
        <v>75</v>
      </c>
      <c r="E111" s="4" t="s">
        <v>36</v>
      </c>
      <c r="F111" s="6">
        <v>45855</v>
      </c>
      <c r="G111" s="4" t="s">
        <v>42</v>
      </c>
      <c r="H111" s="4" t="s">
        <v>34</v>
      </c>
      <c r="I111" s="4" t="s">
        <v>88</v>
      </c>
      <c r="J111" s="4" t="s">
        <v>89</v>
      </c>
      <c r="K111" s="4" t="s">
        <v>90</v>
      </c>
      <c r="L111" s="7">
        <v>3.53</v>
      </c>
      <c r="M111" s="7">
        <v>3.9329999999999998</v>
      </c>
      <c r="N111" s="7">
        <v>-0.43000000000000016</v>
      </c>
      <c r="O111" s="7">
        <v>-7.1074380165289286</v>
      </c>
      <c r="P111" s="7">
        <v>-2.117</v>
      </c>
      <c r="Q111" s="7">
        <v>-34.991735537190081</v>
      </c>
      <c r="R111" s="7">
        <v>1973</v>
      </c>
      <c r="S111" s="7">
        <f t="shared" si="5"/>
        <v>160.45454545454544</v>
      </c>
      <c r="T111" s="7">
        <f t="shared" si="6"/>
        <v>12.296317280453259</v>
      </c>
      <c r="U111" s="7">
        <v>58.76</v>
      </c>
    </row>
    <row r="112" spans="3:21" x14ac:dyDescent="0.2">
      <c r="C112" s="10">
        <v>109</v>
      </c>
      <c r="D112" s="4" t="s">
        <v>73</v>
      </c>
      <c r="E112" s="4" t="s">
        <v>36</v>
      </c>
      <c r="F112" s="6">
        <v>45855</v>
      </c>
      <c r="G112" s="4" t="s">
        <v>42</v>
      </c>
      <c r="H112" s="4" t="s">
        <v>48</v>
      </c>
      <c r="I112" s="4" t="s">
        <v>88</v>
      </c>
      <c r="J112" s="4" t="s">
        <v>89</v>
      </c>
      <c r="K112" s="4" t="s">
        <v>90</v>
      </c>
      <c r="L112" s="7">
        <v>3.66</v>
      </c>
      <c r="M112" s="7">
        <v>5.2960000000000003</v>
      </c>
      <c r="N112" s="7">
        <v>-0.34999999999999964</v>
      </c>
      <c r="O112" s="7">
        <v>-5.7851239669421437</v>
      </c>
      <c r="P112" s="7">
        <v>-0.75399999999999956</v>
      </c>
      <c r="Q112" s="7">
        <v>-12.462809917355365</v>
      </c>
      <c r="R112" s="7">
        <v>3390</v>
      </c>
      <c r="S112" s="7">
        <f t="shared" si="5"/>
        <v>166.36363636363637</v>
      </c>
      <c r="T112" s="7">
        <f t="shared" si="6"/>
        <v>20.377049180327866</v>
      </c>
      <c r="U112" s="7">
        <v>46.35</v>
      </c>
    </row>
    <row r="113" spans="3:21" x14ac:dyDescent="0.2">
      <c r="C113" s="10">
        <v>110</v>
      </c>
      <c r="D113" s="4" t="s">
        <v>73</v>
      </c>
      <c r="E113" s="4" t="s">
        <v>36</v>
      </c>
      <c r="F113" s="6">
        <v>45855</v>
      </c>
      <c r="G113" s="4" t="s">
        <v>42</v>
      </c>
      <c r="H113" s="4" t="s">
        <v>48</v>
      </c>
      <c r="I113" s="4" t="s">
        <v>88</v>
      </c>
      <c r="J113" s="4" t="s">
        <v>89</v>
      </c>
      <c r="K113" s="4" t="s">
        <v>90</v>
      </c>
      <c r="L113" s="7">
        <v>3.5</v>
      </c>
      <c r="M113" s="7">
        <v>5.3339999999999996</v>
      </c>
      <c r="N113" s="7">
        <v>-0.50999999999999979</v>
      </c>
      <c r="O113" s="7">
        <v>-8.8896635872407153</v>
      </c>
      <c r="P113" s="7">
        <v>-0.40300000000000047</v>
      </c>
      <c r="Q113" s="7">
        <v>-7.0245773052117917</v>
      </c>
      <c r="R113" s="7">
        <v>3970</v>
      </c>
      <c r="S113" s="7">
        <f t="shared" si="5"/>
        <v>159.09090909090909</v>
      </c>
      <c r="T113" s="7">
        <f t="shared" si="6"/>
        <v>24.954285714285714</v>
      </c>
      <c r="U113" s="7">
        <v>43.6</v>
      </c>
    </row>
    <row r="114" spans="3:21" x14ac:dyDescent="0.2">
      <c r="C114" s="10">
        <v>111</v>
      </c>
      <c r="D114" s="4" t="s">
        <v>73</v>
      </c>
      <c r="E114" s="4" t="s">
        <v>36</v>
      </c>
      <c r="F114" s="6">
        <v>45855</v>
      </c>
      <c r="G114" s="4" t="s">
        <v>42</v>
      </c>
      <c r="H114" s="4" t="s">
        <v>48</v>
      </c>
      <c r="I114" s="4" t="s">
        <v>88</v>
      </c>
      <c r="J114" s="4" t="s">
        <v>89</v>
      </c>
      <c r="K114" s="4" t="s">
        <v>90</v>
      </c>
      <c r="L114" s="7">
        <v>3.5</v>
      </c>
      <c r="M114" s="7">
        <v>5.399</v>
      </c>
      <c r="N114" s="7">
        <v>-0.50999999999999979</v>
      </c>
      <c r="O114" s="7">
        <v>-8.8388214904679359</v>
      </c>
      <c r="P114" s="7">
        <v>-0.37099999999999955</v>
      </c>
      <c r="Q114" s="7">
        <v>-6.4298093587521592</v>
      </c>
      <c r="R114" s="7">
        <v>3384</v>
      </c>
      <c r="S114" s="7">
        <f t="shared" si="5"/>
        <v>159.09090909090909</v>
      </c>
      <c r="T114" s="7">
        <f t="shared" si="6"/>
        <v>21.270857142857142</v>
      </c>
      <c r="U114" s="7">
        <v>42.9</v>
      </c>
    </row>
    <row r="115" spans="3:21" x14ac:dyDescent="0.2">
      <c r="C115" s="10">
        <v>112</v>
      </c>
      <c r="D115" s="4" t="s">
        <v>74</v>
      </c>
      <c r="E115" s="4" t="s">
        <v>36</v>
      </c>
      <c r="F115" s="6">
        <v>45855</v>
      </c>
      <c r="G115" s="4" t="s">
        <v>42</v>
      </c>
      <c r="H115" s="4" t="s">
        <v>50</v>
      </c>
      <c r="I115" s="4" t="s">
        <v>88</v>
      </c>
      <c r="J115" s="4" t="s">
        <v>89</v>
      </c>
      <c r="K115" s="4" t="s">
        <v>90</v>
      </c>
      <c r="L115" s="7">
        <v>3.47</v>
      </c>
      <c r="M115" s="7">
        <v>5.3780000000000001</v>
      </c>
      <c r="N115" s="7">
        <v>-0.53999999999999959</v>
      </c>
      <c r="O115" s="7">
        <v>-9.2040224987216561</v>
      </c>
      <c r="P115" s="7">
        <v>-0.48899999999999988</v>
      </c>
      <c r="Q115" s="7">
        <v>-8.3347537071757269</v>
      </c>
      <c r="R115" s="7">
        <v>3117</v>
      </c>
      <c r="S115" s="7">
        <f t="shared" si="5"/>
        <v>157.72727272727275</v>
      </c>
      <c r="T115" s="7">
        <f t="shared" si="6"/>
        <v>19.761959654178671</v>
      </c>
      <c r="U115" s="7">
        <v>42.63</v>
      </c>
    </row>
    <row r="116" spans="3:21" x14ac:dyDescent="0.2">
      <c r="C116" s="10">
        <v>113</v>
      </c>
      <c r="D116" s="4" t="s">
        <v>74</v>
      </c>
      <c r="E116" s="4" t="s">
        <v>36</v>
      </c>
      <c r="F116" s="6">
        <v>45855</v>
      </c>
      <c r="G116" s="4" t="s">
        <v>42</v>
      </c>
      <c r="H116" s="4" t="s">
        <v>50</v>
      </c>
      <c r="I116" s="4" t="s">
        <v>88</v>
      </c>
      <c r="J116" s="4" t="s">
        <v>89</v>
      </c>
      <c r="K116" s="4" t="s">
        <v>90</v>
      </c>
      <c r="L116" s="7">
        <v>3.47</v>
      </c>
      <c r="M116" s="7">
        <v>5.3440000000000003</v>
      </c>
      <c r="N116" s="7">
        <v>-0.53999999999999959</v>
      </c>
      <c r="O116" s="7">
        <v>-9.2767565710358983</v>
      </c>
      <c r="P116" s="7">
        <v>-0.47699999999999942</v>
      </c>
      <c r="Q116" s="7">
        <v>-8.1944683044150395</v>
      </c>
      <c r="R116" s="7">
        <v>3465</v>
      </c>
      <c r="S116" s="7">
        <f t="shared" si="5"/>
        <v>157.72727272727275</v>
      </c>
      <c r="T116" s="7">
        <f t="shared" si="6"/>
        <v>21.968299711815558</v>
      </c>
      <c r="U116" s="7">
        <v>42.95</v>
      </c>
    </row>
    <row r="117" spans="3:21" x14ac:dyDescent="0.2">
      <c r="C117" s="10">
        <v>114</v>
      </c>
      <c r="D117" s="4" t="s">
        <v>74</v>
      </c>
      <c r="E117" s="4" t="s">
        <v>36</v>
      </c>
      <c r="F117" s="6">
        <v>45855</v>
      </c>
      <c r="G117" s="4" t="s">
        <v>42</v>
      </c>
      <c r="H117" s="4" t="s">
        <v>50</v>
      </c>
      <c r="I117" s="4" t="s">
        <v>88</v>
      </c>
      <c r="J117" s="4" t="s">
        <v>89</v>
      </c>
      <c r="K117" s="4" t="s">
        <v>90</v>
      </c>
      <c r="L117" s="7">
        <v>3.49</v>
      </c>
      <c r="M117" s="7">
        <v>5.407</v>
      </c>
      <c r="N117" s="7">
        <v>-0.51999999999999957</v>
      </c>
      <c r="O117" s="7">
        <v>-8.9949835668569378</v>
      </c>
      <c r="P117" s="7">
        <v>-0.37399999999999967</v>
      </c>
      <c r="Q117" s="7">
        <v>-6.4694689500086433</v>
      </c>
      <c r="R117" s="7">
        <v>2228</v>
      </c>
      <c r="S117" s="7">
        <f t="shared" si="5"/>
        <v>158.63636363636365</v>
      </c>
      <c r="T117" s="7">
        <f t="shared" si="6"/>
        <v>14.044699140401145</v>
      </c>
      <c r="U117" s="7">
        <v>42.57</v>
      </c>
    </row>
    <row r="118" spans="3:21" x14ac:dyDescent="0.2">
      <c r="C118" s="10">
        <v>115</v>
      </c>
      <c r="D118" s="4" t="s">
        <v>74</v>
      </c>
      <c r="E118" s="4" t="s">
        <v>36</v>
      </c>
      <c r="F118" s="6">
        <v>45855</v>
      </c>
      <c r="G118" s="4" t="s">
        <v>42</v>
      </c>
      <c r="H118" s="4" t="s">
        <v>50</v>
      </c>
      <c r="I118" s="4" t="s">
        <v>88</v>
      </c>
      <c r="J118" s="4" t="s">
        <v>89</v>
      </c>
      <c r="K118" s="4" t="s">
        <v>90</v>
      </c>
      <c r="L118" s="7">
        <v>3.53</v>
      </c>
      <c r="M118" s="7">
        <v>5.4359999999999999</v>
      </c>
      <c r="N118" s="7">
        <v>-0.48</v>
      </c>
      <c r="O118" s="7">
        <v>-8.1911262798634805</v>
      </c>
      <c r="P118" s="7">
        <v>-0.42400000000000038</v>
      </c>
      <c r="Q118" s="7">
        <v>-7.2354948805460815</v>
      </c>
      <c r="R118" s="7">
        <v>3656</v>
      </c>
      <c r="S118" s="7">
        <f t="shared" si="5"/>
        <v>160.45454545454544</v>
      </c>
      <c r="T118" s="7">
        <f t="shared" si="6"/>
        <v>22.785269121813034</v>
      </c>
      <c r="U118" s="7">
        <v>42.94</v>
      </c>
    </row>
    <row r="119" spans="3:21" x14ac:dyDescent="0.2">
      <c r="C119" s="10">
        <v>116</v>
      </c>
      <c r="D119" s="4" t="s">
        <v>74</v>
      </c>
      <c r="E119" s="4" t="s">
        <v>36</v>
      </c>
      <c r="F119" s="6">
        <v>45855</v>
      </c>
      <c r="G119" s="4" t="s">
        <v>42</v>
      </c>
      <c r="H119" s="4" t="s">
        <v>50</v>
      </c>
      <c r="I119" s="4" t="s">
        <v>88</v>
      </c>
      <c r="J119" s="4" t="s">
        <v>89</v>
      </c>
      <c r="K119" s="4" t="s">
        <v>90</v>
      </c>
      <c r="L119" s="7">
        <v>3.53</v>
      </c>
      <c r="M119" s="7">
        <v>5.3810000000000002</v>
      </c>
      <c r="N119" s="7">
        <v>-0.48</v>
      </c>
      <c r="O119" s="7">
        <v>-8.1535586886359788</v>
      </c>
      <c r="P119" s="7">
        <v>-0.50599999999999934</v>
      </c>
      <c r="Q119" s="7">
        <v>-8.5952097842704163</v>
      </c>
      <c r="R119" s="7">
        <v>3410</v>
      </c>
      <c r="S119" s="7">
        <f t="shared" si="5"/>
        <v>160.45454545454544</v>
      </c>
      <c r="T119" s="7">
        <f t="shared" si="6"/>
        <v>21.252124645892355</v>
      </c>
      <c r="U119" s="7">
        <v>43.58</v>
      </c>
    </row>
    <row r="120" spans="3:21" x14ac:dyDescent="0.2">
      <c r="C120" s="10">
        <v>117</v>
      </c>
      <c r="D120" s="4" t="s">
        <v>76</v>
      </c>
      <c r="E120" s="4" t="s">
        <v>36</v>
      </c>
      <c r="F120" s="6">
        <v>45849</v>
      </c>
      <c r="G120" s="4" t="s">
        <v>42</v>
      </c>
      <c r="H120" s="4" t="s">
        <v>32</v>
      </c>
      <c r="I120" s="4" t="s">
        <v>88</v>
      </c>
      <c r="J120" s="4" t="s">
        <v>89</v>
      </c>
      <c r="K120" s="4" t="s">
        <v>90</v>
      </c>
      <c r="L120" s="7">
        <v>3.66</v>
      </c>
      <c r="M120" s="7">
        <v>4.7009999999999996</v>
      </c>
      <c r="N120" s="7">
        <v>-0.59999999999999964</v>
      </c>
      <c r="O120" s="7">
        <v>-14.084507042253513</v>
      </c>
      <c r="P120" s="7">
        <v>-1.2850000000000001</v>
      </c>
      <c r="Q120" s="7">
        <v>-21.466755763448049</v>
      </c>
      <c r="R120" s="7">
        <v>2136</v>
      </c>
      <c r="S120" s="7">
        <f t="shared" si="5"/>
        <v>166.36363636363637</v>
      </c>
      <c r="T120" s="7">
        <f t="shared" si="6"/>
        <v>12.83934426229508</v>
      </c>
      <c r="U120" s="7">
        <v>52.48</v>
      </c>
    </row>
    <row r="121" spans="3:21" x14ac:dyDescent="0.2">
      <c r="C121" s="10">
        <v>118</v>
      </c>
      <c r="D121" s="4" t="s">
        <v>76</v>
      </c>
      <c r="E121" s="4" t="s">
        <v>36</v>
      </c>
      <c r="F121" s="6">
        <v>45849</v>
      </c>
      <c r="G121" s="4" t="s">
        <v>42</v>
      </c>
      <c r="H121" s="4" t="s">
        <v>32</v>
      </c>
      <c r="I121" s="4" t="s">
        <v>88</v>
      </c>
      <c r="J121" s="4" t="s">
        <v>89</v>
      </c>
      <c r="K121" s="4" t="s">
        <v>90</v>
      </c>
      <c r="L121" s="7">
        <v>3.52</v>
      </c>
      <c r="M121" s="7">
        <v>4.657</v>
      </c>
      <c r="N121" s="7">
        <v>-0.6599999999999997</v>
      </c>
      <c r="O121" s="7">
        <v>-15.78947368421052</v>
      </c>
      <c r="P121" s="7">
        <v>-1.2409999999999997</v>
      </c>
      <c r="Q121" s="7">
        <v>-21.041030857917935</v>
      </c>
      <c r="R121" s="7">
        <v>2026</v>
      </c>
      <c r="S121" s="7">
        <f t="shared" si="5"/>
        <v>160</v>
      </c>
      <c r="T121" s="7">
        <f t="shared" si="6"/>
        <v>12.6625</v>
      </c>
      <c r="U121" s="7">
        <v>51.05</v>
      </c>
    </row>
    <row r="122" spans="3:21" x14ac:dyDescent="0.2">
      <c r="C122" s="10">
        <v>119</v>
      </c>
      <c r="D122" s="4" t="s">
        <v>76</v>
      </c>
      <c r="E122" s="4" t="s">
        <v>36</v>
      </c>
      <c r="F122" s="6">
        <v>45849</v>
      </c>
      <c r="G122" s="4" t="s">
        <v>42</v>
      </c>
      <c r="H122" s="4" t="s">
        <v>32</v>
      </c>
      <c r="I122" s="4" t="s">
        <v>88</v>
      </c>
      <c r="J122" s="4" t="s">
        <v>89</v>
      </c>
      <c r="K122" s="4" t="s">
        <v>90</v>
      </c>
      <c r="L122" s="7">
        <v>3.47</v>
      </c>
      <c r="M122" s="7">
        <v>4.6269999999999998</v>
      </c>
      <c r="N122" s="7">
        <v>-0.69999999999999973</v>
      </c>
      <c r="O122" s="7">
        <v>-16.786570743405267</v>
      </c>
      <c r="P122" s="7">
        <v>-1.2599999999999998</v>
      </c>
      <c r="Q122" s="7">
        <v>-21.403091557669441</v>
      </c>
      <c r="R122" s="7">
        <v>1883</v>
      </c>
      <c r="S122" s="7">
        <f t="shared" si="5"/>
        <v>157.72727272727275</v>
      </c>
      <c r="T122" s="7">
        <f t="shared" si="6"/>
        <v>11.938328530259364</v>
      </c>
      <c r="U122" s="7">
        <v>50.62</v>
      </c>
    </row>
    <row r="123" spans="3:21" x14ac:dyDescent="0.2">
      <c r="C123" s="10">
        <v>120</v>
      </c>
      <c r="D123" s="4" t="s">
        <v>76</v>
      </c>
      <c r="E123" s="4" t="s">
        <v>36</v>
      </c>
      <c r="F123" s="6">
        <v>45849</v>
      </c>
      <c r="G123" s="4" t="s">
        <v>42</v>
      </c>
      <c r="H123" s="4" t="s">
        <v>32</v>
      </c>
      <c r="I123" s="4" t="s">
        <v>88</v>
      </c>
      <c r="J123" s="4" t="s">
        <v>89</v>
      </c>
      <c r="K123" s="4" t="s">
        <v>90</v>
      </c>
      <c r="L123" s="7">
        <v>3.54</v>
      </c>
      <c r="M123" s="7">
        <v>4.577</v>
      </c>
      <c r="N123" s="7">
        <v>-0.66999999999999993</v>
      </c>
      <c r="O123" s="7">
        <v>-15.914489311163893</v>
      </c>
      <c r="P123" s="7">
        <v>-1.3120000000000003</v>
      </c>
      <c r="Q123" s="7">
        <v>-22.278824927831554</v>
      </c>
      <c r="R123" s="7">
        <v>1966</v>
      </c>
      <c r="S123" s="7">
        <f t="shared" ref="S123:S149" si="7">L123/22*1000</f>
        <v>160.90909090909091</v>
      </c>
      <c r="T123" s="7">
        <f t="shared" si="6"/>
        <v>12.218079096045198</v>
      </c>
      <c r="U123" s="7">
        <v>52.13</v>
      </c>
    </row>
    <row r="124" spans="3:21" x14ac:dyDescent="0.2">
      <c r="C124" s="10">
        <v>121</v>
      </c>
      <c r="D124" s="4" t="s">
        <v>76</v>
      </c>
      <c r="E124" s="4" t="s">
        <v>36</v>
      </c>
      <c r="F124" s="6">
        <v>45849</v>
      </c>
      <c r="G124" s="4" t="s">
        <v>42</v>
      </c>
      <c r="H124" s="4" t="s">
        <v>32</v>
      </c>
      <c r="I124" s="4" t="s">
        <v>88</v>
      </c>
      <c r="J124" s="4" t="s">
        <v>89</v>
      </c>
      <c r="K124" s="4" t="s">
        <v>90</v>
      </c>
      <c r="L124" s="7">
        <v>3.52</v>
      </c>
      <c r="M124" s="7">
        <v>4.6109999999999998</v>
      </c>
      <c r="N124" s="7">
        <v>-0.7200000000000002</v>
      </c>
      <c r="O124" s="7">
        <v>-16.981132075471702</v>
      </c>
      <c r="P124" s="7">
        <v>-1.2370000000000001</v>
      </c>
      <c r="Q124" s="7">
        <v>-21.152530779753764</v>
      </c>
      <c r="R124" s="7">
        <v>1912</v>
      </c>
      <c r="S124" s="7">
        <f t="shared" si="7"/>
        <v>160</v>
      </c>
      <c r="T124" s="7">
        <f t="shared" si="6"/>
        <v>11.95</v>
      </c>
      <c r="U124" s="7">
        <v>51.47</v>
      </c>
    </row>
    <row r="125" spans="3:21" x14ac:dyDescent="0.2">
      <c r="C125" s="10">
        <v>122</v>
      </c>
      <c r="D125" s="4" t="s">
        <v>76</v>
      </c>
      <c r="E125" s="4" t="s">
        <v>36</v>
      </c>
      <c r="F125" s="6">
        <v>45849</v>
      </c>
      <c r="G125" s="4" t="s">
        <v>42</v>
      </c>
      <c r="H125" s="4" t="s">
        <v>32</v>
      </c>
      <c r="I125" s="4" t="s">
        <v>88</v>
      </c>
      <c r="J125" s="4" t="s">
        <v>89</v>
      </c>
      <c r="K125" s="4" t="s">
        <v>90</v>
      </c>
      <c r="L125" s="7">
        <v>3.49</v>
      </c>
      <c r="M125" s="7">
        <v>4.6879999999999997</v>
      </c>
      <c r="N125" s="7">
        <v>-0.72999999999999954</v>
      </c>
      <c r="O125" s="7">
        <v>-17.298578199052123</v>
      </c>
      <c r="P125" s="7">
        <v>-1.2780000000000005</v>
      </c>
      <c r="Q125" s="7">
        <v>-21.42138786456588</v>
      </c>
      <c r="R125" s="7">
        <v>2089</v>
      </c>
      <c r="S125" s="7">
        <f t="shared" si="7"/>
        <v>158.63636363636365</v>
      </c>
      <c r="T125" s="7">
        <f t="shared" si="6"/>
        <v>13.168481375358164</v>
      </c>
      <c r="U125" s="7">
        <v>50.27</v>
      </c>
    </row>
    <row r="126" spans="3:21" x14ac:dyDescent="0.2">
      <c r="C126" s="10">
        <v>123</v>
      </c>
      <c r="D126" s="4" t="s">
        <v>77</v>
      </c>
      <c r="E126" s="4" t="s">
        <v>36</v>
      </c>
      <c r="F126" s="6">
        <v>45849</v>
      </c>
      <c r="G126" s="4" t="s">
        <v>42</v>
      </c>
      <c r="H126" s="4" t="s">
        <v>33</v>
      </c>
      <c r="I126" s="4" t="s">
        <v>88</v>
      </c>
      <c r="J126" s="4" t="s">
        <v>89</v>
      </c>
      <c r="K126" s="4" t="s">
        <v>90</v>
      </c>
      <c r="L126" s="7">
        <v>3.5</v>
      </c>
      <c r="M126" s="7">
        <v>4.1920000000000002</v>
      </c>
      <c r="N126" s="7">
        <v>-0.62000000000000011</v>
      </c>
      <c r="O126" s="7">
        <v>-10.528103243335032</v>
      </c>
      <c r="P126" s="7">
        <v>-1.6970000000000001</v>
      </c>
      <c r="Q126" s="7">
        <v>-28.816437425708948</v>
      </c>
      <c r="R126" s="7">
        <v>2172</v>
      </c>
      <c r="S126" s="7">
        <f t="shared" si="7"/>
        <v>159.09090909090909</v>
      </c>
      <c r="T126" s="7">
        <f t="shared" si="6"/>
        <v>13.652571428571429</v>
      </c>
      <c r="U126" s="7">
        <v>55.68</v>
      </c>
    </row>
    <row r="127" spans="3:21" x14ac:dyDescent="0.2">
      <c r="C127" s="10">
        <v>124</v>
      </c>
      <c r="D127" s="4" t="s">
        <v>77</v>
      </c>
      <c r="E127" s="4" t="s">
        <v>36</v>
      </c>
      <c r="F127" s="6">
        <v>45849</v>
      </c>
      <c r="G127" s="4" t="s">
        <v>42</v>
      </c>
      <c r="H127" s="4" t="s">
        <v>33</v>
      </c>
      <c r="I127" s="4" t="s">
        <v>88</v>
      </c>
      <c r="J127" s="4" t="s">
        <v>89</v>
      </c>
      <c r="K127" s="4" t="s">
        <v>90</v>
      </c>
      <c r="L127" s="7">
        <v>3.45</v>
      </c>
      <c r="M127" s="7">
        <v>4.22</v>
      </c>
      <c r="N127" s="7">
        <v>-0.66000000000000014</v>
      </c>
      <c r="O127" s="7">
        <v>-11.148648648648651</v>
      </c>
      <c r="P127" s="7">
        <v>-1.7000000000000002</v>
      </c>
      <c r="Q127" s="7">
        <v>-28.716216216216218</v>
      </c>
      <c r="R127" s="7">
        <v>2085</v>
      </c>
      <c r="S127" s="7">
        <f t="shared" si="7"/>
        <v>156.81818181818184</v>
      </c>
      <c r="T127" s="7">
        <f t="shared" si="6"/>
        <v>13.295652173913041</v>
      </c>
      <c r="U127" s="7">
        <v>54.7</v>
      </c>
    </row>
    <row r="128" spans="3:21" x14ac:dyDescent="0.2">
      <c r="C128" s="10">
        <v>125</v>
      </c>
      <c r="D128" s="4" t="s">
        <v>77</v>
      </c>
      <c r="E128" s="4" t="s">
        <v>36</v>
      </c>
      <c r="F128" s="6">
        <v>45849</v>
      </c>
      <c r="G128" s="4" t="s">
        <v>42</v>
      </c>
      <c r="H128" s="4" t="s">
        <v>33</v>
      </c>
      <c r="I128" s="4" t="s">
        <v>88</v>
      </c>
      <c r="J128" s="4" t="s">
        <v>89</v>
      </c>
      <c r="K128" s="4" t="s">
        <v>90</v>
      </c>
      <c r="L128" s="7">
        <v>3.47</v>
      </c>
      <c r="M128" s="7">
        <v>4.1989999999999998</v>
      </c>
      <c r="N128" s="7">
        <v>-0.69</v>
      </c>
      <c r="O128" s="7">
        <v>-11.690952219586579</v>
      </c>
      <c r="P128" s="7">
        <v>-1.7030000000000003</v>
      </c>
      <c r="Q128" s="7">
        <v>-28.854625550660796</v>
      </c>
      <c r="R128" s="7">
        <v>2074</v>
      </c>
      <c r="S128" s="7">
        <f t="shared" si="7"/>
        <v>157.72727272727275</v>
      </c>
      <c r="T128" s="7">
        <f t="shared" si="6"/>
        <v>13.149279538904898</v>
      </c>
      <c r="U128" s="7">
        <v>55.12</v>
      </c>
    </row>
    <row r="129" spans="3:21" x14ac:dyDescent="0.2">
      <c r="C129" s="10">
        <v>126</v>
      </c>
      <c r="D129" s="4" t="s">
        <v>78</v>
      </c>
      <c r="E129" s="4" t="s">
        <v>36</v>
      </c>
      <c r="F129" s="6">
        <v>45849</v>
      </c>
      <c r="G129" s="4" t="s">
        <v>42</v>
      </c>
      <c r="H129" s="4" t="s">
        <v>34</v>
      </c>
      <c r="I129" s="4" t="s">
        <v>88</v>
      </c>
      <c r="J129" s="4" t="s">
        <v>89</v>
      </c>
      <c r="K129" s="4" t="s">
        <v>90</v>
      </c>
      <c r="L129" s="7">
        <v>3.5</v>
      </c>
      <c r="M129" s="7">
        <v>3.806</v>
      </c>
      <c r="N129" s="7">
        <v>-0.55999999999999961</v>
      </c>
      <c r="O129" s="7">
        <v>-9.5857583019513797</v>
      </c>
      <c r="P129" s="7">
        <v>-2.0359999999999996</v>
      </c>
      <c r="Q129" s="7">
        <v>-34.851078397808962</v>
      </c>
      <c r="R129" s="7">
        <v>1833</v>
      </c>
      <c r="S129" s="7">
        <f t="shared" si="7"/>
        <v>159.09090909090909</v>
      </c>
      <c r="T129" s="7">
        <f t="shared" si="6"/>
        <v>11.521714285714285</v>
      </c>
      <c r="U129" s="7">
        <v>59.76</v>
      </c>
    </row>
    <row r="130" spans="3:21" x14ac:dyDescent="0.2">
      <c r="C130" s="10">
        <v>127</v>
      </c>
      <c r="D130" s="4" t="s">
        <v>78</v>
      </c>
      <c r="E130" s="4" t="s">
        <v>36</v>
      </c>
      <c r="F130" s="6">
        <v>45849</v>
      </c>
      <c r="G130" s="4" t="s">
        <v>42</v>
      </c>
      <c r="H130" s="4" t="s">
        <v>34</v>
      </c>
      <c r="I130" s="4" t="s">
        <v>88</v>
      </c>
      <c r="J130" s="4" t="s">
        <v>89</v>
      </c>
      <c r="K130" s="4" t="s">
        <v>90</v>
      </c>
      <c r="L130" s="7">
        <v>3.55</v>
      </c>
      <c r="M130" s="7">
        <v>3.8650000000000002</v>
      </c>
      <c r="N130" s="7">
        <v>-0.52000000000000046</v>
      </c>
      <c r="O130" s="7">
        <v>-8.8375254928620048</v>
      </c>
      <c r="P130" s="7">
        <v>-2.0190000000000001</v>
      </c>
      <c r="Q130" s="7">
        <v>-34.313392250169954</v>
      </c>
      <c r="R130" s="7">
        <v>1925</v>
      </c>
      <c r="S130" s="7">
        <f t="shared" si="7"/>
        <v>161.36363636363635</v>
      </c>
      <c r="T130" s="7">
        <f t="shared" si="6"/>
        <v>11.929577464788734</v>
      </c>
      <c r="U130" s="7">
        <v>59.67</v>
      </c>
    </row>
    <row r="131" spans="3:21" x14ac:dyDescent="0.2">
      <c r="C131" s="10">
        <v>128</v>
      </c>
      <c r="D131" s="4" t="s">
        <v>78</v>
      </c>
      <c r="E131" s="4" t="s">
        <v>36</v>
      </c>
      <c r="F131" s="6">
        <v>45849</v>
      </c>
      <c r="G131" s="4" t="s">
        <v>42</v>
      </c>
      <c r="H131" s="4" t="s">
        <v>34</v>
      </c>
      <c r="I131" s="4" t="s">
        <v>88</v>
      </c>
      <c r="J131" s="4" t="s">
        <v>89</v>
      </c>
      <c r="K131" s="4" t="s">
        <v>90</v>
      </c>
      <c r="L131" s="7">
        <v>3.47</v>
      </c>
      <c r="M131" s="7">
        <v>3.879</v>
      </c>
      <c r="N131" s="7">
        <v>-0.58999999999999941</v>
      </c>
      <c r="O131" s="7">
        <v>-9.9510878731657844</v>
      </c>
      <c r="P131" s="7">
        <v>-2.0500000000000003</v>
      </c>
      <c r="Q131" s="7">
        <v>-34.575813796593017</v>
      </c>
      <c r="R131" s="7">
        <v>1849</v>
      </c>
      <c r="S131" s="7">
        <f t="shared" si="7"/>
        <v>157.72727272727275</v>
      </c>
      <c r="T131" s="7">
        <f t="shared" si="6"/>
        <v>11.722766570605186</v>
      </c>
      <c r="U131" s="7">
        <v>58.58</v>
      </c>
    </row>
    <row r="132" spans="3:21" x14ac:dyDescent="0.2">
      <c r="C132" s="10">
        <v>129</v>
      </c>
      <c r="D132" s="4" t="s">
        <v>79</v>
      </c>
      <c r="E132" s="4" t="s">
        <v>36</v>
      </c>
      <c r="F132" s="6">
        <v>45849</v>
      </c>
      <c r="G132" s="4" t="s">
        <v>42</v>
      </c>
      <c r="H132" s="4" t="s">
        <v>32</v>
      </c>
      <c r="I132" s="4" t="s">
        <v>88</v>
      </c>
      <c r="J132" s="4" t="s">
        <v>89</v>
      </c>
      <c r="K132" s="4" t="s">
        <v>90</v>
      </c>
      <c r="L132" s="7">
        <v>3.63</v>
      </c>
      <c r="M132" s="7">
        <v>4.5999999999999996</v>
      </c>
      <c r="N132" s="7">
        <v>-0.62000000000000011</v>
      </c>
      <c r="O132" s="7">
        <v>-10.465901417960838</v>
      </c>
      <c r="P132" s="7">
        <v>-1.3240000000000007</v>
      </c>
      <c r="Q132" s="7">
        <v>-22.349763673193799</v>
      </c>
      <c r="R132" s="7">
        <v>5057</v>
      </c>
      <c r="S132" s="7">
        <f t="shared" si="7"/>
        <v>165</v>
      </c>
      <c r="T132" s="7">
        <f t="shared" si="6"/>
        <v>30.648484848484848</v>
      </c>
      <c r="U132" s="7">
        <v>53.13</v>
      </c>
    </row>
    <row r="133" spans="3:21" x14ac:dyDescent="0.2">
      <c r="C133" s="10">
        <v>130</v>
      </c>
      <c r="D133" s="4" t="s">
        <v>79</v>
      </c>
      <c r="E133" s="4" t="s">
        <v>36</v>
      </c>
      <c r="F133" s="6">
        <v>45849</v>
      </c>
      <c r="G133" s="4" t="s">
        <v>42</v>
      </c>
      <c r="H133" s="4" t="s">
        <v>32</v>
      </c>
      <c r="I133" s="4" t="s">
        <v>88</v>
      </c>
      <c r="J133" s="4" t="s">
        <v>89</v>
      </c>
      <c r="K133" s="4" t="s">
        <v>90</v>
      </c>
      <c r="L133" s="7">
        <v>3.5</v>
      </c>
      <c r="M133" s="7">
        <v>4.59</v>
      </c>
      <c r="N133" s="7">
        <v>-0.62000000000000011</v>
      </c>
      <c r="O133" s="7">
        <v>-10.444743935309974</v>
      </c>
      <c r="P133" s="7">
        <v>-1.3460000000000001</v>
      </c>
      <c r="Q133" s="7">
        <v>-22.675202156334233</v>
      </c>
      <c r="R133" s="7">
        <v>7090</v>
      </c>
      <c r="S133" s="7">
        <f t="shared" si="7"/>
        <v>159.09090909090909</v>
      </c>
      <c r="T133" s="7">
        <f t="shared" si="6"/>
        <v>44.565714285714286</v>
      </c>
      <c r="U133" s="7">
        <v>51.44</v>
      </c>
    </row>
    <row r="134" spans="3:21" x14ac:dyDescent="0.2">
      <c r="C134" s="10">
        <v>131</v>
      </c>
      <c r="D134" s="4" t="s">
        <v>79</v>
      </c>
      <c r="E134" s="4" t="s">
        <v>36</v>
      </c>
      <c r="F134" s="6">
        <v>45849</v>
      </c>
      <c r="G134" s="4" t="s">
        <v>42</v>
      </c>
      <c r="H134" s="4" t="s">
        <v>32</v>
      </c>
      <c r="I134" s="4" t="s">
        <v>88</v>
      </c>
      <c r="J134" s="4" t="s">
        <v>89</v>
      </c>
      <c r="K134" s="4" t="s">
        <v>90</v>
      </c>
      <c r="L134" s="7">
        <v>3.48</v>
      </c>
      <c r="M134" s="7">
        <v>4.5789999999999997</v>
      </c>
      <c r="N134" s="7">
        <v>-0.63000000000000034</v>
      </c>
      <c r="O134" s="7">
        <v>-10.609632873021226</v>
      </c>
      <c r="P134" s="7">
        <v>-1.359</v>
      </c>
      <c r="Q134" s="7">
        <v>-22.886493768945773</v>
      </c>
      <c r="R134" s="7">
        <v>7012</v>
      </c>
      <c r="S134" s="7">
        <f t="shared" si="7"/>
        <v>158.18181818181819</v>
      </c>
      <c r="T134" s="7">
        <f t="shared" si="6"/>
        <v>44.328735632183907</v>
      </c>
      <c r="U134" s="7">
        <v>51.27</v>
      </c>
    </row>
    <row r="135" spans="3:21" x14ac:dyDescent="0.2">
      <c r="C135" s="10">
        <v>132</v>
      </c>
      <c r="D135" s="4" t="s">
        <v>79</v>
      </c>
      <c r="E135" s="4" t="s">
        <v>36</v>
      </c>
      <c r="F135" s="6">
        <v>45849</v>
      </c>
      <c r="G135" s="4" t="s">
        <v>42</v>
      </c>
      <c r="H135" s="4" t="s">
        <v>32</v>
      </c>
      <c r="I135" s="4" t="s">
        <v>88</v>
      </c>
      <c r="J135" s="4" t="s">
        <v>89</v>
      </c>
      <c r="K135" s="4" t="s">
        <v>90</v>
      </c>
      <c r="L135" s="7">
        <v>3.49</v>
      </c>
      <c r="M135" s="7">
        <v>4.5979999999999999</v>
      </c>
      <c r="N135" s="7">
        <v>-0.58999999999999986</v>
      </c>
      <c r="O135" s="7">
        <v>-9.8777833584463401</v>
      </c>
      <c r="P135" s="7">
        <v>-1.375</v>
      </c>
      <c r="Q135" s="7">
        <v>-23.020257826887661</v>
      </c>
      <c r="R135" s="7">
        <v>7121</v>
      </c>
      <c r="S135" s="7">
        <f t="shared" si="7"/>
        <v>158.63636363636365</v>
      </c>
      <c r="T135" s="7">
        <f t="shared" si="6"/>
        <v>44.888825214899711</v>
      </c>
      <c r="U135" s="7">
        <v>51.21</v>
      </c>
    </row>
    <row r="136" spans="3:21" x14ac:dyDescent="0.2">
      <c r="C136" s="10">
        <v>133</v>
      </c>
      <c r="D136" s="4" t="s">
        <v>79</v>
      </c>
      <c r="E136" s="4" t="s">
        <v>36</v>
      </c>
      <c r="F136" s="6">
        <v>45849</v>
      </c>
      <c r="G136" s="4" t="s">
        <v>42</v>
      </c>
      <c r="H136" s="4" t="s">
        <v>32</v>
      </c>
      <c r="I136" s="4" t="s">
        <v>88</v>
      </c>
      <c r="J136" s="4" t="s">
        <v>89</v>
      </c>
      <c r="K136" s="4" t="s">
        <v>90</v>
      </c>
      <c r="L136" s="7">
        <v>3.54</v>
      </c>
      <c r="M136" s="7">
        <v>4.5720000000000001</v>
      </c>
      <c r="N136" s="7">
        <v>-0.54999999999999982</v>
      </c>
      <c r="O136" s="7">
        <v>-9.2297365329753287</v>
      </c>
      <c r="P136" s="7">
        <v>-1.3869999999999996</v>
      </c>
      <c r="Q136" s="7">
        <v>-23.275717402248695</v>
      </c>
      <c r="R136" s="7">
        <v>7002</v>
      </c>
      <c r="S136" s="7">
        <f t="shared" si="7"/>
        <v>160.90909090909091</v>
      </c>
      <c r="T136" s="7">
        <f t="shared" si="6"/>
        <v>43.515254237288133</v>
      </c>
      <c r="U136" s="7">
        <v>52.22</v>
      </c>
    </row>
    <row r="137" spans="3:21" x14ac:dyDescent="0.2">
      <c r="C137" s="10">
        <v>134</v>
      </c>
      <c r="D137" s="4" t="s">
        <v>79</v>
      </c>
      <c r="E137" s="4" t="s">
        <v>36</v>
      </c>
      <c r="F137" s="6">
        <v>45849</v>
      </c>
      <c r="G137" s="4" t="s">
        <v>42</v>
      </c>
      <c r="H137" s="4" t="s">
        <v>32</v>
      </c>
      <c r="I137" s="4" t="s">
        <v>88</v>
      </c>
      <c r="J137" s="4" t="s">
        <v>89</v>
      </c>
      <c r="K137" s="4" t="s">
        <v>90</v>
      </c>
      <c r="L137" s="7">
        <v>3.52</v>
      </c>
      <c r="M137" s="7">
        <v>4.6120000000000001</v>
      </c>
      <c r="N137" s="7">
        <v>-0.57999999999999963</v>
      </c>
      <c r="O137" s="7">
        <v>-9.7478991596638593</v>
      </c>
      <c r="P137" s="7">
        <v>-1.3380000000000001</v>
      </c>
      <c r="Q137" s="7">
        <v>-22.487394957983195</v>
      </c>
      <c r="R137" s="7">
        <v>7416</v>
      </c>
      <c r="S137" s="7">
        <f t="shared" si="7"/>
        <v>160</v>
      </c>
      <c r="T137" s="7">
        <f t="shared" si="6"/>
        <v>46.35</v>
      </c>
      <c r="U137" s="7">
        <v>51.5</v>
      </c>
    </row>
    <row r="138" spans="3:21" x14ac:dyDescent="0.2">
      <c r="C138" s="10">
        <v>135</v>
      </c>
      <c r="D138" s="4" t="s">
        <v>80</v>
      </c>
      <c r="E138" s="4" t="s">
        <v>36</v>
      </c>
      <c r="F138" s="6">
        <v>45849</v>
      </c>
      <c r="G138" s="4" t="s">
        <v>42</v>
      </c>
      <c r="H138" s="4" t="s">
        <v>33</v>
      </c>
      <c r="I138" s="4" t="s">
        <v>88</v>
      </c>
      <c r="J138" s="4" t="s">
        <v>89</v>
      </c>
      <c r="K138" s="4" t="s">
        <v>90</v>
      </c>
      <c r="L138" s="7">
        <v>3.5</v>
      </c>
      <c r="M138" s="7">
        <v>4.3079999999999998</v>
      </c>
      <c r="N138" s="7">
        <v>-0.57000000000000028</v>
      </c>
      <c r="O138" s="7">
        <v>-9.5349615255938485</v>
      </c>
      <c r="P138" s="7">
        <v>-1.67</v>
      </c>
      <c r="Q138" s="7">
        <v>-27.935764469722312</v>
      </c>
      <c r="R138" s="7">
        <v>7522</v>
      </c>
      <c r="S138" s="7">
        <f t="shared" si="7"/>
        <v>159.09090909090909</v>
      </c>
      <c r="T138" s="7">
        <f t="shared" ref="T138:T149" si="8">R138/S138</f>
        <v>47.281142857142854</v>
      </c>
      <c r="U138" s="7">
        <v>54.42</v>
      </c>
    </row>
    <row r="139" spans="3:21" x14ac:dyDescent="0.2">
      <c r="C139" s="10">
        <v>136</v>
      </c>
      <c r="D139" s="4" t="s">
        <v>80</v>
      </c>
      <c r="E139" s="4" t="s">
        <v>36</v>
      </c>
      <c r="F139" s="6">
        <v>45849</v>
      </c>
      <c r="G139" s="4" t="s">
        <v>42</v>
      </c>
      <c r="H139" s="4" t="s">
        <v>33</v>
      </c>
      <c r="I139" s="4" t="s">
        <v>88</v>
      </c>
      <c r="J139" s="4" t="s">
        <v>89</v>
      </c>
      <c r="K139" s="4" t="s">
        <v>90</v>
      </c>
      <c r="L139" s="7">
        <v>3.58</v>
      </c>
      <c r="M139" s="7">
        <v>4.3230000000000004</v>
      </c>
      <c r="N139" s="7">
        <v>-0.47999999999999954</v>
      </c>
      <c r="O139" s="7">
        <v>-8.0536912751677772</v>
      </c>
      <c r="P139" s="7">
        <v>-1.6369999999999996</v>
      </c>
      <c r="Q139" s="7">
        <v>-27.466442953020128</v>
      </c>
      <c r="R139" s="7">
        <v>7300</v>
      </c>
      <c r="S139" s="7">
        <f t="shared" si="7"/>
        <v>162.72727272727272</v>
      </c>
      <c r="T139" s="7">
        <f t="shared" si="8"/>
        <v>44.86033519553073</v>
      </c>
      <c r="U139" s="7">
        <v>55.25</v>
      </c>
    </row>
    <row r="140" spans="3:21" x14ac:dyDescent="0.2">
      <c r="C140" s="10">
        <v>137</v>
      </c>
      <c r="D140" s="4" t="s">
        <v>80</v>
      </c>
      <c r="E140" s="4" t="s">
        <v>36</v>
      </c>
      <c r="F140" s="6">
        <v>45849</v>
      </c>
      <c r="G140" s="4" t="s">
        <v>42</v>
      </c>
      <c r="H140" s="4" t="s">
        <v>33</v>
      </c>
      <c r="I140" s="4" t="s">
        <v>88</v>
      </c>
      <c r="J140" s="4" t="s">
        <v>89</v>
      </c>
      <c r="K140" s="4" t="s">
        <v>90</v>
      </c>
      <c r="L140" s="7">
        <v>3.58</v>
      </c>
      <c r="M140" s="7">
        <v>4.2779999999999996</v>
      </c>
      <c r="N140" s="7">
        <v>-0.46999999999999975</v>
      </c>
      <c r="O140" s="7">
        <v>-7.8411745078411714</v>
      </c>
      <c r="P140" s="7">
        <v>-1.7160000000000002</v>
      </c>
      <c r="Q140" s="7">
        <v>-28.628628628628633</v>
      </c>
      <c r="R140" s="7">
        <v>7945</v>
      </c>
      <c r="S140" s="7">
        <f t="shared" si="7"/>
        <v>162.72727272727272</v>
      </c>
      <c r="T140" s="7">
        <f t="shared" si="8"/>
        <v>48.824022346368714</v>
      </c>
      <c r="U140" s="7">
        <v>55.74</v>
      </c>
    </row>
    <row r="141" spans="3:21" x14ac:dyDescent="0.2">
      <c r="C141" s="10">
        <v>138</v>
      </c>
      <c r="D141" s="4" t="s">
        <v>80</v>
      </c>
      <c r="E141" s="4" t="s">
        <v>36</v>
      </c>
      <c r="F141" s="6">
        <v>45849</v>
      </c>
      <c r="G141" s="4" t="s">
        <v>42</v>
      </c>
      <c r="H141" s="4" t="s">
        <v>33</v>
      </c>
      <c r="I141" s="4" t="s">
        <v>88</v>
      </c>
      <c r="J141" s="4" t="s">
        <v>89</v>
      </c>
      <c r="K141" s="4" t="s">
        <v>90</v>
      </c>
      <c r="L141" s="7">
        <v>3.54</v>
      </c>
      <c r="M141" s="7">
        <v>4.3150000000000004</v>
      </c>
      <c r="N141" s="7">
        <v>-0.54</v>
      </c>
      <c r="O141" s="7">
        <v>-9.0255724552899892</v>
      </c>
      <c r="P141" s="7">
        <v>-1.6679999999999993</v>
      </c>
      <c r="Q141" s="7">
        <v>-27.878990473006844</v>
      </c>
      <c r="R141" s="7">
        <v>7558</v>
      </c>
      <c r="S141" s="7">
        <f t="shared" si="7"/>
        <v>160.90909090909091</v>
      </c>
      <c r="T141" s="7">
        <f t="shared" si="8"/>
        <v>46.970621468926552</v>
      </c>
      <c r="U141" s="7">
        <v>54.88</v>
      </c>
    </row>
    <row r="142" spans="3:21" x14ac:dyDescent="0.2">
      <c r="C142" s="10">
        <v>139</v>
      </c>
      <c r="D142" s="4" t="s">
        <v>80</v>
      </c>
      <c r="E142" s="4" t="s">
        <v>36</v>
      </c>
      <c r="F142" s="6">
        <v>45849</v>
      </c>
      <c r="G142" s="4" t="s">
        <v>42</v>
      </c>
      <c r="H142" s="4" t="s">
        <v>33</v>
      </c>
      <c r="I142" s="4" t="s">
        <v>88</v>
      </c>
      <c r="J142" s="4" t="s">
        <v>89</v>
      </c>
      <c r="K142" s="4" t="s">
        <v>90</v>
      </c>
      <c r="L142" s="7">
        <v>3.45</v>
      </c>
      <c r="M142" s="7">
        <v>3.702</v>
      </c>
      <c r="N142" s="7">
        <v>-0.63999999999999968</v>
      </c>
      <c r="O142" s="7">
        <v>-10.698762955533262</v>
      </c>
      <c r="P142" s="7">
        <v>-2.2800000000000002</v>
      </c>
      <c r="Q142" s="7">
        <v>-38.114343029087266</v>
      </c>
      <c r="R142" s="7">
        <v>7383</v>
      </c>
      <c r="S142" s="7">
        <f t="shared" si="7"/>
        <v>156.81818181818184</v>
      </c>
      <c r="T142" s="7">
        <f t="shared" si="8"/>
        <v>47.079999999999991</v>
      </c>
      <c r="U142" s="7">
        <v>60.31</v>
      </c>
    </row>
    <row r="143" spans="3:21" x14ac:dyDescent="0.2">
      <c r="C143" s="10">
        <v>140</v>
      </c>
      <c r="D143" s="4" t="s">
        <v>80</v>
      </c>
      <c r="E143" s="4" t="s">
        <v>36</v>
      </c>
      <c r="F143" s="6">
        <v>45849</v>
      </c>
      <c r="G143" s="4" t="s">
        <v>42</v>
      </c>
      <c r="H143" s="4" t="s">
        <v>33</v>
      </c>
      <c r="I143" s="4" t="s">
        <v>88</v>
      </c>
      <c r="J143" s="4" t="s">
        <v>89</v>
      </c>
      <c r="K143" s="4" t="s">
        <v>90</v>
      </c>
      <c r="L143" s="7">
        <v>3.47</v>
      </c>
      <c r="M143" s="7">
        <v>4.226</v>
      </c>
      <c r="N143" s="7">
        <v>-0.60000000000000009</v>
      </c>
      <c r="O143" s="7">
        <v>-10.058675607711653</v>
      </c>
      <c r="P143" s="7">
        <v>-1.7389999999999999</v>
      </c>
      <c r="Q143" s="7">
        <v>-29.153394803017601</v>
      </c>
      <c r="R143" s="7">
        <v>7193</v>
      </c>
      <c r="S143" s="7">
        <f t="shared" si="7"/>
        <v>157.72727272727275</v>
      </c>
      <c r="T143" s="7">
        <f t="shared" si="8"/>
        <v>45.604034582132556</v>
      </c>
      <c r="U143" s="7">
        <v>54.94</v>
      </c>
    </row>
    <row r="144" spans="3:21" x14ac:dyDescent="0.2">
      <c r="C144" s="10">
        <v>141</v>
      </c>
      <c r="D144" s="4" t="s">
        <v>81</v>
      </c>
      <c r="E144" s="4" t="s">
        <v>36</v>
      </c>
      <c r="F144" s="6">
        <v>45849</v>
      </c>
      <c r="G144" s="4" t="s">
        <v>42</v>
      </c>
      <c r="H144" s="4" t="s">
        <v>34</v>
      </c>
      <c r="I144" s="4" t="s">
        <v>88</v>
      </c>
      <c r="J144" s="4" t="s">
        <v>89</v>
      </c>
      <c r="K144" s="4" t="s">
        <v>90</v>
      </c>
      <c r="L144" s="7">
        <v>3.52</v>
      </c>
      <c r="M144" s="7">
        <v>4.2389999999999999</v>
      </c>
      <c r="N144" s="7">
        <v>-0.52</v>
      </c>
      <c r="O144" s="7">
        <v>-8.6883876357560563</v>
      </c>
      <c r="P144" s="7">
        <v>-1.7460000000000004</v>
      </c>
      <c r="Q144" s="7">
        <v>-29.172932330827074</v>
      </c>
      <c r="R144" s="7">
        <v>8320</v>
      </c>
      <c r="S144" s="7">
        <f t="shared" si="7"/>
        <v>160</v>
      </c>
      <c r="T144" s="7">
        <f t="shared" si="8"/>
        <v>52</v>
      </c>
      <c r="U144" s="7">
        <v>55.39</v>
      </c>
    </row>
    <row r="145" spans="3:21" x14ac:dyDescent="0.2">
      <c r="C145" s="10">
        <v>142</v>
      </c>
      <c r="D145" s="4" t="s">
        <v>81</v>
      </c>
      <c r="E145" s="4" t="s">
        <v>36</v>
      </c>
      <c r="F145" s="6">
        <v>45849</v>
      </c>
      <c r="G145" s="4" t="s">
        <v>42</v>
      </c>
      <c r="H145" s="4" t="s">
        <v>34</v>
      </c>
      <c r="I145" s="4" t="s">
        <v>88</v>
      </c>
      <c r="J145" s="4" t="s">
        <v>89</v>
      </c>
      <c r="K145" s="4" t="s">
        <v>90</v>
      </c>
      <c r="L145" s="7">
        <v>3.5</v>
      </c>
      <c r="M145" s="7">
        <v>3.8479999999999999</v>
      </c>
      <c r="N145" s="7">
        <v>-0.54</v>
      </c>
      <c r="O145" s="7">
        <v>-9.0270812437311942</v>
      </c>
      <c r="P145" s="7">
        <v>-2.1340000000000003</v>
      </c>
      <c r="Q145" s="7">
        <v>-35.67368772985624</v>
      </c>
      <c r="R145" s="7">
        <v>8986</v>
      </c>
      <c r="S145" s="7">
        <f t="shared" si="7"/>
        <v>159.09090909090909</v>
      </c>
      <c r="T145" s="7">
        <f t="shared" si="8"/>
        <v>56.483428571428568</v>
      </c>
      <c r="U145" s="7">
        <v>59.28</v>
      </c>
    </row>
    <row r="146" spans="3:21" x14ac:dyDescent="0.2">
      <c r="C146" s="10">
        <v>143</v>
      </c>
      <c r="D146" s="4" t="s">
        <v>81</v>
      </c>
      <c r="E146" s="4" t="s">
        <v>36</v>
      </c>
      <c r="F146" s="6">
        <v>45849</v>
      </c>
      <c r="G146" s="4" t="s">
        <v>42</v>
      </c>
      <c r="H146" s="4" t="s">
        <v>34</v>
      </c>
      <c r="I146" s="4" t="s">
        <v>88</v>
      </c>
      <c r="J146" s="4" t="s">
        <v>89</v>
      </c>
      <c r="K146" s="4" t="s">
        <v>90</v>
      </c>
      <c r="L146" s="7">
        <v>3.48</v>
      </c>
      <c r="M146" s="7">
        <v>3.8029999999999999</v>
      </c>
      <c r="N146" s="7">
        <v>-0.57999999999999963</v>
      </c>
      <c r="O146" s="7">
        <v>-9.660226515656225</v>
      </c>
      <c r="P146" s="7">
        <v>-2.2009999999999996</v>
      </c>
      <c r="Q146" s="7">
        <v>-36.658894070619588</v>
      </c>
      <c r="R146" s="7">
        <v>8697</v>
      </c>
      <c r="S146" s="7">
        <f t="shared" si="7"/>
        <v>158.18181818181819</v>
      </c>
      <c r="T146" s="7">
        <f t="shared" si="8"/>
        <v>54.981034482758616</v>
      </c>
      <c r="U146" s="7">
        <v>59.47</v>
      </c>
    </row>
    <row r="147" spans="3:21" x14ac:dyDescent="0.2">
      <c r="C147" s="10">
        <v>144</v>
      </c>
      <c r="D147" s="4" t="s">
        <v>81</v>
      </c>
      <c r="E147" s="4" t="s">
        <v>36</v>
      </c>
      <c r="F147" s="6">
        <v>45849</v>
      </c>
      <c r="G147" s="4" t="s">
        <v>42</v>
      </c>
      <c r="H147" s="4" t="s">
        <v>34</v>
      </c>
      <c r="I147" s="4" t="s">
        <v>88</v>
      </c>
      <c r="J147" s="4" t="s">
        <v>89</v>
      </c>
      <c r="K147" s="4" t="s">
        <v>90</v>
      </c>
      <c r="L147" s="7">
        <v>3.52</v>
      </c>
      <c r="M147" s="7">
        <v>3.0830000000000002</v>
      </c>
      <c r="N147" s="7">
        <v>-0.55000000000000027</v>
      </c>
      <c r="O147" s="7">
        <v>-9.1483699268130447</v>
      </c>
      <c r="P147" s="7">
        <v>-2.9289999999999994</v>
      </c>
      <c r="Q147" s="7">
        <v>-48.719228210246172</v>
      </c>
      <c r="R147" s="7">
        <v>9096</v>
      </c>
      <c r="S147" s="7">
        <f t="shared" si="7"/>
        <v>160</v>
      </c>
      <c r="T147" s="7">
        <f t="shared" si="8"/>
        <v>56.85</v>
      </c>
      <c r="U147" s="7">
        <v>59.99</v>
      </c>
    </row>
    <row r="148" spans="3:21" x14ac:dyDescent="0.2">
      <c r="C148" s="10">
        <v>145</v>
      </c>
      <c r="D148" s="4" t="s">
        <v>81</v>
      </c>
      <c r="E148" s="4" t="s">
        <v>36</v>
      </c>
      <c r="F148" s="6">
        <v>45849</v>
      </c>
      <c r="G148" s="4" t="s">
        <v>42</v>
      </c>
      <c r="H148" s="4" t="s">
        <v>34</v>
      </c>
      <c r="I148" s="4" t="s">
        <v>88</v>
      </c>
      <c r="J148" s="4" t="s">
        <v>89</v>
      </c>
      <c r="K148" s="4" t="s">
        <v>90</v>
      </c>
      <c r="L148" s="7">
        <v>3.46</v>
      </c>
      <c r="M148" s="7">
        <v>3.8</v>
      </c>
      <c r="N148" s="7">
        <v>-0.62000000000000011</v>
      </c>
      <c r="O148" s="7">
        <v>-10.413167618407796</v>
      </c>
      <c r="P148" s="7">
        <v>-2.1539999999999999</v>
      </c>
      <c r="Q148" s="7">
        <v>-36.177359758145784</v>
      </c>
      <c r="R148" s="7">
        <v>8522</v>
      </c>
      <c r="S148" s="7">
        <f t="shared" si="7"/>
        <v>157.27272727272725</v>
      </c>
      <c r="T148" s="7">
        <f t="shared" si="8"/>
        <v>54.186127167630062</v>
      </c>
      <c r="U148" s="7">
        <v>59.34</v>
      </c>
    </row>
    <row r="149" spans="3:21" x14ac:dyDescent="0.2">
      <c r="C149" s="10">
        <v>146</v>
      </c>
      <c r="D149" s="4" t="s">
        <v>81</v>
      </c>
      <c r="E149" s="4" t="s">
        <v>36</v>
      </c>
      <c r="F149" s="6">
        <v>45849</v>
      </c>
      <c r="G149" s="4" t="s">
        <v>42</v>
      </c>
      <c r="H149" s="4" t="s">
        <v>34</v>
      </c>
      <c r="I149" s="4" t="s">
        <v>88</v>
      </c>
      <c r="J149" s="4" t="s">
        <v>89</v>
      </c>
      <c r="K149" s="4" t="s">
        <v>90</v>
      </c>
      <c r="L149" s="7">
        <v>3.52</v>
      </c>
      <c r="M149" s="7">
        <v>3.7690000000000001</v>
      </c>
      <c r="N149" s="7">
        <v>-0.55000000000000027</v>
      </c>
      <c r="O149" s="7">
        <v>-9.1605596269153953</v>
      </c>
      <c r="P149" s="7">
        <v>-2.2349999999999994</v>
      </c>
      <c r="Q149" s="7">
        <v>-37.22518321119253</v>
      </c>
      <c r="R149" s="7">
        <v>8354</v>
      </c>
      <c r="S149" s="7">
        <f t="shared" si="7"/>
        <v>160</v>
      </c>
      <c r="T149" s="7">
        <f t="shared" si="8"/>
        <v>52.212499999999999</v>
      </c>
      <c r="U149" s="7">
        <v>60.34</v>
      </c>
    </row>
    <row r="150" spans="3:21" x14ac:dyDescent="0.2">
      <c r="C150" s="10">
        <v>147</v>
      </c>
      <c r="D150" s="4" t="s">
        <v>16</v>
      </c>
      <c r="E150" s="4" t="s">
        <v>36</v>
      </c>
      <c r="F150" s="6">
        <v>45915</v>
      </c>
      <c r="G150" s="4" t="s">
        <v>42</v>
      </c>
      <c r="H150" s="4" t="s">
        <v>32</v>
      </c>
      <c r="I150" s="4" t="s">
        <v>88</v>
      </c>
      <c r="J150" s="4" t="s">
        <v>89</v>
      </c>
      <c r="K150" s="4" t="s">
        <v>90</v>
      </c>
      <c r="L150" s="7">
        <v>3.5625264479999994</v>
      </c>
      <c r="M150" s="7">
        <v>5.008</v>
      </c>
      <c r="N150" s="7">
        <v>-0.41899585699999964</v>
      </c>
      <c r="O150" s="7">
        <v>-10.523508972279881</v>
      </c>
      <c r="P150" s="7">
        <v>-1.3090000000000002</v>
      </c>
      <c r="Q150" s="7">
        <v>-20.721861643185058</v>
      </c>
      <c r="R150" s="9">
        <v>829.47199999999998</v>
      </c>
      <c r="S150" s="9">
        <f>L150/22*1000</f>
        <v>161.93302036363633</v>
      </c>
      <c r="T150" s="7">
        <f>R150/S150</f>
        <v>5.1223153754394257</v>
      </c>
      <c r="U150" s="7">
        <v>47.935409269561866</v>
      </c>
    </row>
    <row r="151" spans="3:21" x14ac:dyDescent="0.2">
      <c r="C151" s="10">
        <v>148</v>
      </c>
      <c r="D151" s="4" t="s">
        <v>16</v>
      </c>
      <c r="E151" s="4" t="s">
        <v>36</v>
      </c>
      <c r="F151" s="6">
        <v>45915</v>
      </c>
      <c r="G151" s="4" t="s">
        <v>42</v>
      </c>
      <c r="H151" s="4" t="s">
        <v>32</v>
      </c>
      <c r="I151" s="4" t="s">
        <v>88</v>
      </c>
      <c r="J151" s="4" t="s">
        <v>89</v>
      </c>
      <c r="K151" s="4" t="s">
        <v>90</v>
      </c>
      <c r="L151" s="7">
        <v>3.3943711199999997</v>
      </c>
      <c r="M151" s="7">
        <v>4.9930000000000003</v>
      </c>
      <c r="N151" s="7">
        <v>-0.46801630250000015</v>
      </c>
      <c r="O151" s="7">
        <v>-12.117280099184564</v>
      </c>
      <c r="P151" s="7">
        <v>-1.3229999999999995</v>
      </c>
      <c r="Q151" s="7">
        <v>-20.946801773274217</v>
      </c>
      <c r="R151" s="9">
        <v>847.61500000000001</v>
      </c>
      <c r="S151" s="9">
        <f t="shared" ref="S151:S214" si="9">L151/22*1000</f>
        <v>154.28959636363635</v>
      </c>
      <c r="T151" s="7">
        <f t="shared" ref="T151:T214" si="10">R151/S151</f>
        <v>5.4936626964938355</v>
      </c>
      <c r="U151" s="7">
        <v>45.51982697580636</v>
      </c>
    </row>
    <row r="152" spans="3:21" x14ac:dyDescent="0.2">
      <c r="C152" s="10">
        <v>149</v>
      </c>
      <c r="D152" s="4" t="s">
        <v>16</v>
      </c>
      <c r="E152" s="4" t="s">
        <v>36</v>
      </c>
      <c r="F152" s="6">
        <v>45915</v>
      </c>
      <c r="G152" s="4" t="s">
        <v>42</v>
      </c>
      <c r="H152" s="4" t="s">
        <v>32</v>
      </c>
      <c r="I152" s="4" t="s">
        <v>88</v>
      </c>
      <c r="J152" s="4" t="s">
        <v>89</v>
      </c>
      <c r="K152" s="4" t="s">
        <v>90</v>
      </c>
      <c r="L152" s="7">
        <v>3.4108956180000005</v>
      </c>
      <c r="M152" s="7">
        <v>4.968</v>
      </c>
      <c r="N152" s="7">
        <v>-0.41695995449999979</v>
      </c>
      <c r="O152" s="7">
        <v>-10.892781783500787</v>
      </c>
      <c r="P152" s="7">
        <v>-1.3390000000000004</v>
      </c>
      <c r="Q152" s="7">
        <v>-21.230378944030448</v>
      </c>
      <c r="R152" s="9">
        <v>874.29100000000005</v>
      </c>
      <c r="S152" s="9">
        <f t="shared" si="9"/>
        <v>155.04070990909094</v>
      </c>
      <c r="T152" s="7">
        <f t="shared" si="10"/>
        <v>5.6391060161724358</v>
      </c>
      <c r="U152" s="7">
        <v>46.055224021223637</v>
      </c>
    </row>
    <row r="153" spans="3:21" x14ac:dyDescent="0.2">
      <c r="C153" s="10">
        <v>150</v>
      </c>
      <c r="D153" s="4" t="s">
        <v>16</v>
      </c>
      <c r="E153" s="4" t="s">
        <v>36</v>
      </c>
      <c r="F153" s="6">
        <v>45915</v>
      </c>
      <c r="G153" s="4" t="s">
        <v>42</v>
      </c>
      <c r="H153" s="4" t="s">
        <v>32</v>
      </c>
      <c r="I153" s="4" t="s">
        <v>88</v>
      </c>
      <c r="J153" s="4" t="s">
        <v>89</v>
      </c>
      <c r="K153" s="4" t="s">
        <v>90</v>
      </c>
      <c r="L153" s="7">
        <v>3.5785719199999999</v>
      </c>
      <c r="M153" s="7">
        <v>4.9850000000000003</v>
      </c>
      <c r="N153" s="7">
        <v>-0.27518253999999986</v>
      </c>
      <c r="O153" s="7">
        <v>-7.1406350055836159</v>
      </c>
      <c r="P153" s="7">
        <v>-1.319</v>
      </c>
      <c r="Q153" s="7">
        <v>-20.923223350253807</v>
      </c>
      <c r="R153" s="9">
        <v>889.803</v>
      </c>
      <c r="S153" s="9">
        <f t="shared" si="9"/>
        <v>162.66236000000001</v>
      </c>
      <c r="T153" s="7">
        <f t="shared" si="10"/>
        <v>5.470245236820614</v>
      </c>
      <c r="U153" s="7">
        <v>48.406897008896884</v>
      </c>
    </row>
    <row r="154" spans="3:21" x14ac:dyDescent="0.2">
      <c r="C154" s="10">
        <v>151</v>
      </c>
      <c r="D154" s="4" t="s">
        <v>16</v>
      </c>
      <c r="E154" s="4" t="s">
        <v>36</v>
      </c>
      <c r="F154" s="6">
        <v>45915</v>
      </c>
      <c r="G154" s="4" t="s">
        <v>42</v>
      </c>
      <c r="H154" s="4" t="s">
        <v>32</v>
      </c>
      <c r="I154" s="4" t="s">
        <v>88</v>
      </c>
      <c r="J154" s="4" t="s">
        <v>89</v>
      </c>
      <c r="K154" s="4" t="s">
        <v>90</v>
      </c>
      <c r="L154" s="7">
        <v>3.6795144960000004</v>
      </c>
      <c r="M154" s="7">
        <v>5.0220000000000002</v>
      </c>
      <c r="N154" s="7">
        <v>-0.44531498649999968</v>
      </c>
      <c r="O154" s="7">
        <v>-10.795961103102393</v>
      </c>
      <c r="P154" s="7">
        <v>-1.327</v>
      </c>
      <c r="Q154" s="7">
        <v>-20.900929280201606</v>
      </c>
      <c r="R154" s="9">
        <v>853.22699999999998</v>
      </c>
      <c r="S154" s="9">
        <f t="shared" si="9"/>
        <v>167.25065890909093</v>
      </c>
      <c r="T154" s="7">
        <f t="shared" si="10"/>
        <v>5.1014866283054312</v>
      </c>
      <c r="U154" s="7">
        <v>49.449852636210409</v>
      </c>
    </row>
    <row r="155" spans="3:21" x14ac:dyDescent="0.2">
      <c r="C155" s="10">
        <v>152</v>
      </c>
      <c r="D155" s="4" t="s">
        <v>16</v>
      </c>
      <c r="E155" s="4" t="s">
        <v>36</v>
      </c>
      <c r="F155" s="6">
        <v>45915</v>
      </c>
      <c r="G155" s="4" t="s">
        <v>42</v>
      </c>
      <c r="H155" s="4" t="s">
        <v>32</v>
      </c>
      <c r="I155" s="4" t="s">
        <v>88</v>
      </c>
      <c r="J155" s="4" t="s">
        <v>89</v>
      </c>
      <c r="K155" s="4" t="s">
        <v>90</v>
      </c>
      <c r="L155" s="7">
        <v>3.5610807374999993</v>
      </c>
      <c r="M155" s="7">
        <v>4.9980000000000002</v>
      </c>
      <c r="N155" s="7">
        <v>-0.51367756250000074</v>
      </c>
      <c r="O155" s="7">
        <v>-12.606332073733078</v>
      </c>
      <c r="P155" s="7">
        <v>-1.3049999999999997</v>
      </c>
      <c r="Q155" s="7">
        <v>-20.704426463588764</v>
      </c>
      <c r="R155" s="9">
        <v>1048.5260000000001</v>
      </c>
      <c r="S155" s="9">
        <f t="shared" si="9"/>
        <v>161.86730624999998</v>
      </c>
      <c r="T155" s="7">
        <f t="shared" si="10"/>
        <v>6.4776885727657572</v>
      </c>
      <c r="U155" s="7">
        <v>48.018277383661498</v>
      </c>
    </row>
    <row r="156" spans="3:21" x14ac:dyDescent="0.2">
      <c r="C156" s="10">
        <v>153</v>
      </c>
      <c r="D156" s="4" t="s">
        <v>16</v>
      </c>
      <c r="E156" s="4" t="s">
        <v>36</v>
      </c>
      <c r="F156" s="6">
        <v>45915</v>
      </c>
      <c r="G156" s="4" t="s">
        <v>42</v>
      </c>
      <c r="H156" s="4" t="s">
        <v>32</v>
      </c>
      <c r="I156" s="4" t="s">
        <v>88</v>
      </c>
      <c r="J156" s="4" t="s">
        <v>89</v>
      </c>
      <c r="K156" s="4" t="s">
        <v>90</v>
      </c>
      <c r="L156" s="7">
        <v>3.6120997200000002</v>
      </c>
      <c r="M156" s="7">
        <v>5.01</v>
      </c>
      <c r="N156" s="7">
        <v>-0.42294695249999981</v>
      </c>
      <c r="O156" s="7">
        <v>-10.481835448955387</v>
      </c>
      <c r="P156" s="7">
        <v>-1.3180000000000005</v>
      </c>
      <c r="Q156" s="7">
        <v>-20.828065739570171</v>
      </c>
      <c r="R156" s="8">
        <v>1063.8140000000001</v>
      </c>
      <c r="S156" s="9">
        <f t="shared" si="9"/>
        <v>164.18635090909092</v>
      </c>
      <c r="T156" s="7">
        <f t="shared" si="10"/>
        <v>6.4793083840996504</v>
      </c>
      <c r="U156" s="7">
        <v>48.629448260205969</v>
      </c>
    </row>
    <row r="157" spans="3:21" x14ac:dyDescent="0.2">
      <c r="C157" s="10">
        <v>154</v>
      </c>
      <c r="D157" s="4" t="s">
        <v>16</v>
      </c>
      <c r="E157" s="4" t="s">
        <v>36</v>
      </c>
      <c r="F157" s="6">
        <v>45915</v>
      </c>
      <c r="G157" s="4" t="s">
        <v>42</v>
      </c>
      <c r="H157" s="4" t="s">
        <v>32</v>
      </c>
      <c r="I157" s="4" t="s">
        <v>88</v>
      </c>
      <c r="J157" s="4" t="s">
        <v>89</v>
      </c>
      <c r="K157" s="4" t="s">
        <v>90</v>
      </c>
      <c r="L157" s="7">
        <v>3.8493931699999999</v>
      </c>
      <c r="M157" s="7">
        <v>5.2290000000000001</v>
      </c>
      <c r="N157" s="7">
        <v>-0.35658615999999999</v>
      </c>
      <c r="O157" s="7">
        <v>-8.4780768525555263</v>
      </c>
      <c r="P157" s="7">
        <v>-1.3529999999999998</v>
      </c>
      <c r="Q157" s="7">
        <v>-20.556061987237921</v>
      </c>
      <c r="R157" s="8">
        <v>1081.9269999999999</v>
      </c>
      <c r="S157" s="9">
        <f t="shared" si="9"/>
        <v>174.97241681818181</v>
      </c>
      <c r="T157" s="7">
        <f t="shared" si="10"/>
        <v>6.1834146185696062</v>
      </c>
      <c r="U157" s="7">
        <v>49.689039774893487</v>
      </c>
    </row>
    <row r="158" spans="3:21" x14ac:dyDescent="0.2">
      <c r="C158" s="10">
        <v>155</v>
      </c>
      <c r="D158" s="4" t="s">
        <v>16</v>
      </c>
      <c r="E158" s="4" t="s">
        <v>36</v>
      </c>
      <c r="F158" s="6">
        <v>45915</v>
      </c>
      <c r="G158" s="4" t="s">
        <v>42</v>
      </c>
      <c r="H158" s="4" t="s">
        <v>32</v>
      </c>
      <c r="I158" s="4" t="s">
        <v>88</v>
      </c>
      <c r="J158" s="4" t="s">
        <v>89</v>
      </c>
      <c r="K158" s="4" t="s">
        <v>90</v>
      </c>
      <c r="L158" s="7">
        <v>3.5294651084999997</v>
      </c>
      <c r="M158" s="7">
        <v>5.0380000000000003</v>
      </c>
      <c r="N158" s="7">
        <v>-0.4382444565000001</v>
      </c>
      <c r="O158" s="7">
        <v>-11.045275600962494</v>
      </c>
      <c r="P158" s="7">
        <v>-1.2889999999999997</v>
      </c>
      <c r="Q158" s="7">
        <v>-20.373004583530896</v>
      </c>
      <c r="R158" s="8">
        <v>1096.4380000000001</v>
      </c>
      <c r="S158" s="9">
        <f t="shared" si="9"/>
        <v>160.43023220454543</v>
      </c>
      <c r="T158" s="7">
        <f t="shared" si="10"/>
        <v>6.8343602383001159</v>
      </c>
      <c r="U158" s="7">
        <v>47.132897802779738</v>
      </c>
    </row>
    <row r="159" spans="3:21" x14ac:dyDescent="0.2">
      <c r="C159" s="10">
        <v>156</v>
      </c>
      <c r="D159" s="4" t="s">
        <v>16</v>
      </c>
      <c r="E159" s="4" t="s">
        <v>36</v>
      </c>
      <c r="F159" s="6">
        <v>45915</v>
      </c>
      <c r="G159" s="4" t="s">
        <v>42</v>
      </c>
      <c r="H159" s="4" t="s">
        <v>32</v>
      </c>
      <c r="I159" s="4" t="s">
        <v>88</v>
      </c>
      <c r="J159" s="4" t="s">
        <v>89</v>
      </c>
      <c r="K159" s="4" t="s">
        <v>90</v>
      </c>
      <c r="L159" s="7">
        <v>3.5533601460000006</v>
      </c>
      <c r="M159" s="7">
        <v>4.9859999999999998</v>
      </c>
      <c r="N159" s="7">
        <v>-0.40053667899999867</v>
      </c>
      <c r="O159" s="7">
        <v>-10.130175285997725</v>
      </c>
      <c r="P159" s="7">
        <v>-1.2800000000000002</v>
      </c>
      <c r="Q159" s="7">
        <v>-20.427705075007985</v>
      </c>
      <c r="R159" s="8">
        <v>1114.905</v>
      </c>
      <c r="S159" s="9">
        <f t="shared" si="9"/>
        <v>161.5163702727273</v>
      </c>
      <c r="T159" s="7">
        <f t="shared" si="10"/>
        <v>6.9027368440575723</v>
      </c>
      <c r="U159" s="7">
        <v>48.030410912739882</v>
      </c>
    </row>
    <row r="160" spans="3:21" x14ac:dyDescent="0.2">
      <c r="C160" s="10">
        <v>157</v>
      </c>
      <c r="D160" s="4" t="s">
        <v>17</v>
      </c>
      <c r="E160" s="4" t="s">
        <v>36</v>
      </c>
      <c r="F160" s="6">
        <v>45915</v>
      </c>
      <c r="G160" s="4" t="s">
        <v>42</v>
      </c>
      <c r="H160" s="4" t="s">
        <v>33</v>
      </c>
      <c r="I160" s="4" t="s">
        <v>88</v>
      </c>
      <c r="J160" s="4" t="s">
        <v>89</v>
      </c>
      <c r="K160" s="4" t="s">
        <v>90</v>
      </c>
      <c r="L160" s="7">
        <v>3.8079219749999993</v>
      </c>
      <c r="M160" s="7">
        <v>4.3029999999999999</v>
      </c>
      <c r="N160" s="7">
        <v>-0.44985513000000044</v>
      </c>
      <c r="O160" s="7">
        <v>-10.565492718529718</v>
      </c>
      <c r="P160" s="7">
        <v>-2.0229999999999997</v>
      </c>
      <c r="Q160" s="7">
        <v>-31.979133733797028</v>
      </c>
      <c r="R160" s="7">
        <v>1352.18</v>
      </c>
      <c r="S160" s="9">
        <f t="shared" si="9"/>
        <v>173.08736249999998</v>
      </c>
      <c r="T160" s="7">
        <f t="shared" si="10"/>
        <v>7.8121243542549221</v>
      </c>
      <c r="U160" s="7">
        <v>58.147679648722217</v>
      </c>
    </row>
    <row r="161" spans="3:24" x14ac:dyDescent="0.2">
      <c r="C161" s="10">
        <v>158</v>
      </c>
      <c r="D161" s="4" t="s">
        <v>17</v>
      </c>
      <c r="E161" s="4" t="s">
        <v>36</v>
      </c>
      <c r="F161" s="6">
        <v>45915</v>
      </c>
      <c r="G161" s="4" t="s">
        <v>42</v>
      </c>
      <c r="H161" s="4" t="s">
        <v>33</v>
      </c>
      <c r="I161" s="4" t="s">
        <v>88</v>
      </c>
      <c r="J161" s="4" t="s">
        <v>89</v>
      </c>
      <c r="K161" s="4" t="s">
        <v>90</v>
      </c>
      <c r="L161" s="7">
        <v>3.7379925629999997</v>
      </c>
      <c r="M161" s="7">
        <v>4.3579999999999997</v>
      </c>
      <c r="N161" s="7">
        <v>-0.38683691950000032</v>
      </c>
      <c r="O161" s="7">
        <v>-9.378252389370143</v>
      </c>
      <c r="P161" s="7">
        <v>-2.0060000000000002</v>
      </c>
      <c r="Q161" s="7">
        <v>-31.521055939660599</v>
      </c>
      <c r="R161" s="8">
        <v>1358.42</v>
      </c>
      <c r="S161" s="9">
        <f t="shared" si="9"/>
        <v>169.90875286363635</v>
      </c>
      <c r="T161" s="7">
        <f t="shared" si="10"/>
        <v>7.9949971799877027</v>
      </c>
      <c r="U161" s="7">
        <v>56.819762295656709</v>
      </c>
    </row>
    <row r="162" spans="3:24" x14ac:dyDescent="0.2">
      <c r="C162" s="10">
        <v>159</v>
      </c>
      <c r="D162" s="4" t="s">
        <v>17</v>
      </c>
      <c r="E162" s="4" t="s">
        <v>36</v>
      </c>
      <c r="F162" s="6">
        <v>45915</v>
      </c>
      <c r="G162" s="4" t="s">
        <v>42</v>
      </c>
      <c r="H162" s="4" t="s">
        <v>33</v>
      </c>
      <c r="I162" s="4" t="s">
        <v>88</v>
      </c>
      <c r="J162" s="4" t="s">
        <v>89</v>
      </c>
      <c r="K162" s="4" t="s">
        <v>90</v>
      </c>
      <c r="L162" s="7">
        <v>3.7706325929999998</v>
      </c>
      <c r="M162" s="7">
        <v>4.343</v>
      </c>
      <c r="N162" s="7">
        <v>-0.4249871819999993</v>
      </c>
      <c r="O162" s="7">
        <v>-10.129306390734595</v>
      </c>
      <c r="P162" s="7">
        <v>-2.016</v>
      </c>
      <c r="Q162" s="7">
        <v>-31.703097971379147</v>
      </c>
      <c r="R162" s="8">
        <v>1286.8499999999999</v>
      </c>
      <c r="S162" s="9">
        <f t="shared" si="9"/>
        <v>171.39239059090909</v>
      </c>
      <c r="T162" s="7">
        <f t="shared" si="10"/>
        <v>7.5082096443332791</v>
      </c>
      <c r="U162" s="7">
        <v>57.340884351748919</v>
      </c>
    </row>
    <row r="163" spans="3:24" x14ac:dyDescent="0.2">
      <c r="C163" s="10">
        <v>160</v>
      </c>
      <c r="D163" s="4" t="s">
        <v>17</v>
      </c>
      <c r="E163" s="4" t="s">
        <v>36</v>
      </c>
      <c r="F163" s="6">
        <v>45915</v>
      </c>
      <c r="G163" s="4" t="s">
        <v>42</v>
      </c>
      <c r="H163" s="4" t="s">
        <v>33</v>
      </c>
      <c r="I163" s="4" t="s">
        <v>88</v>
      </c>
      <c r="J163" s="4" t="s">
        <v>89</v>
      </c>
      <c r="K163" s="4" t="s">
        <v>90</v>
      </c>
      <c r="L163" s="7">
        <v>3.7714121250000003</v>
      </c>
      <c r="M163" s="7">
        <v>4.3879999999999999</v>
      </c>
      <c r="N163" s="7">
        <v>-0.49154475749999893</v>
      </c>
      <c r="O163" s="7">
        <v>-11.53060589277492</v>
      </c>
      <c r="P163" s="7">
        <v>-2.0049999999999999</v>
      </c>
      <c r="Q163" s="7">
        <v>-31.362427655247927</v>
      </c>
      <c r="R163" s="8">
        <v>1239.71</v>
      </c>
      <c r="S163" s="9">
        <f t="shared" si="9"/>
        <v>171.42782386363641</v>
      </c>
      <c r="T163" s="7">
        <f t="shared" si="10"/>
        <v>7.2316732025142958</v>
      </c>
      <c r="U163" s="7">
        <v>56.907780658281013</v>
      </c>
    </row>
    <row r="164" spans="3:24" x14ac:dyDescent="0.2">
      <c r="C164" s="10">
        <v>161</v>
      </c>
      <c r="D164" s="4" t="s">
        <v>17</v>
      </c>
      <c r="E164" s="4" t="s">
        <v>36</v>
      </c>
      <c r="F164" s="6">
        <v>45915</v>
      </c>
      <c r="G164" s="4" t="s">
        <v>42</v>
      </c>
      <c r="H164" s="4" t="s">
        <v>33</v>
      </c>
      <c r="I164" s="4" t="s">
        <v>88</v>
      </c>
      <c r="J164" s="4" t="s">
        <v>89</v>
      </c>
      <c r="K164" s="4" t="s">
        <v>90</v>
      </c>
      <c r="L164" s="7">
        <v>3.7417155449999999</v>
      </c>
      <c r="M164" s="7">
        <v>4.3869999999999996</v>
      </c>
      <c r="N164" s="7">
        <v>-0.44009148999999947</v>
      </c>
      <c r="O164" s="7">
        <v>-10.523954986842178</v>
      </c>
      <c r="P164" s="7">
        <v>-2.0270000000000001</v>
      </c>
      <c r="Q164" s="7">
        <v>-31.60274399750546</v>
      </c>
      <c r="R164" s="8">
        <v>1488.33</v>
      </c>
      <c r="S164" s="9">
        <f t="shared" si="9"/>
        <v>170.0779793181818</v>
      </c>
      <c r="T164" s="7">
        <f t="shared" si="10"/>
        <v>8.7508683132672509</v>
      </c>
      <c r="U164" s="7">
        <v>56.575672434906743</v>
      </c>
    </row>
    <row r="165" spans="3:24" x14ac:dyDescent="0.2">
      <c r="C165" s="10">
        <v>162</v>
      </c>
      <c r="D165" s="4" t="s">
        <v>17</v>
      </c>
      <c r="E165" s="4" t="s">
        <v>36</v>
      </c>
      <c r="F165" s="6">
        <v>45915</v>
      </c>
      <c r="G165" s="4" t="s">
        <v>42</v>
      </c>
      <c r="H165" s="4" t="s">
        <v>33</v>
      </c>
      <c r="I165" s="4" t="s">
        <v>88</v>
      </c>
      <c r="J165" s="4" t="s">
        <v>89</v>
      </c>
      <c r="K165" s="4" t="s">
        <v>90</v>
      </c>
      <c r="L165" s="7">
        <v>3.8245486630000007</v>
      </c>
      <c r="M165" s="7">
        <v>4.431</v>
      </c>
      <c r="N165" s="7">
        <v>-0.42114229449999829</v>
      </c>
      <c r="O165" s="7">
        <v>-9.9192875486156566</v>
      </c>
      <c r="P165" s="7">
        <v>-2.0300000000000002</v>
      </c>
      <c r="Q165" s="7">
        <v>-31.4192849404117</v>
      </c>
      <c r="R165" s="8">
        <v>1492.58</v>
      </c>
      <c r="S165" s="9">
        <f t="shared" si="9"/>
        <v>173.84312104545458</v>
      </c>
      <c r="T165" s="7">
        <f t="shared" si="10"/>
        <v>8.5857869498887833</v>
      </c>
      <c r="U165" s="7">
        <v>57.09007112426665</v>
      </c>
    </row>
    <row r="166" spans="3:24" x14ac:dyDescent="0.2">
      <c r="C166" s="10">
        <v>163</v>
      </c>
      <c r="D166" s="4" t="s">
        <v>17</v>
      </c>
      <c r="E166" s="4" t="s">
        <v>36</v>
      </c>
      <c r="F166" s="6">
        <v>45915</v>
      </c>
      <c r="G166" s="4" t="s">
        <v>42</v>
      </c>
      <c r="H166" s="4" t="s">
        <v>33</v>
      </c>
      <c r="I166" s="4" t="s">
        <v>88</v>
      </c>
      <c r="J166" s="4" t="s">
        <v>89</v>
      </c>
      <c r="K166" s="4" t="s">
        <v>90</v>
      </c>
      <c r="L166" s="7">
        <v>3.7295777640000001</v>
      </c>
      <c r="M166" s="7">
        <v>4.3609999999999998</v>
      </c>
      <c r="N166" s="7">
        <v>-0.45050267849999948</v>
      </c>
      <c r="O166" s="7">
        <v>-10.777368634335787</v>
      </c>
      <c r="P166" s="7">
        <v>-1.9700000000000006</v>
      </c>
      <c r="Q166" s="7">
        <v>-31.116727215289853</v>
      </c>
      <c r="R166" s="8">
        <v>1521.14</v>
      </c>
      <c r="S166" s="9">
        <f t="shared" si="9"/>
        <v>169.526262</v>
      </c>
      <c r="T166" s="7">
        <f t="shared" si="10"/>
        <v>8.9728870444863578</v>
      </c>
      <c r="U166" s="7">
        <v>56.692545714534539</v>
      </c>
    </row>
    <row r="167" spans="3:24" x14ac:dyDescent="0.2">
      <c r="C167" s="10">
        <v>164</v>
      </c>
      <c r="D167" s="4" t="s">
        <v>17</v>
      </c>
      <c r="E167" s="4" t="s">
        <v>36</v>
      </c>
      <c r="F167" s="6">
        <v>45915</v>
      </c>
      <c r="G167" s="4" t="s">
        <v>42</v>
      </c>
      <c r="H167" s="4" t="s">
        <v>33</v>
      </c>
      <c r="I167" s="4" t="s">
        <v>88</v>
      </c>
      <c r="J167" s="4" t="s">
        <v>89</v>
      </c>
      <c r="K167" s="4" t="s">
        <v>90</v>
      </c>
      <c r="L167" s="7">
        <v>3.8145456719999999</v>
      </c>
      <c r="M167" s="7">
        <v>4.335</v>
      </c>
      <c r="N167" s="7">
        <v>-0.3966134354999995</v>
      </c>
      <c r="O167" s="7">
        <v>-9.418153657353816</v>
      </c>
      <c r="P167" s="7">
        <v>-1.9539999999999997</v>
      </c>
      <c r="Q167" s="7">
        <v>-31.070122435999359</v>
      </c>
      <c r="R167" s="8">
        <v>1447.89</v>
      </c>
      <c r="S167" s="9">
        <f t="shared" si="9"/>
        <v>173.38843963636364</v>
      </c>
      <c r="T167" s="7">
        <f t="shared" si="10"/>
        <v>8.3505567212933354</v>
      </c>
      <c r="U167" s="7">
        <v>57.909651800977166</v>
      </c>
    </row>
    <row r="168" spans="3:24" x14ac:dyDescent="0.2">
      <c r="C168" s="10">
        <v>165</v>
      </c>
      <c r="D168" s="4" t="s">
        <v>18</v>
      </c>
      <c r="E168" s="4" t="s">
        <v>36</v>
      </c>
      <c r="F168" s="6">
        <v>45915</v>
      </c>
      <c r="G168" s="4" t="s">
        <v>42</v>
      </c>
      <c r="H168" s="4" t="s">
        <v>34</v>
      </c>
      <c r="I168" s="4" t="s">
        <v>88</v>
      </c>
      <c r="J168" s="4" t="s">
        <v>89</v>
      </c>
      <c r="K168" s="4" t="s">
        <v>90</v>
      </c>
      <c r="L168" s="7">
        <v>3.8463912784999996</v>
      </c>
      <c r="M168" s="7">
        <v>3.9510000000000001</v>
      </c>
      <c r="N168" s="7">
        <v>-0.40275286399999999</v>
      </c>
      <c r="O168" s="7">
        <v>-9.478446729346274</v>
      </c>
      <c r="P168" s="7">
        <v>-2.379</v>
      </c>
      <c r="Q168" s="7">
        <v>-37.582938388625593</v>
      </c>
      <c r="R168" s="7">
        <v>1245.43</v>
      </c>
      <c r="S168" s="9">
        <f t="shared" si="9"/>
        <v>174.83596720454545</v>
      </c>
      <c r="T168" s="7">
        <f t="shared" si="10"/>
        <v>7.1234198541249638</v>
      </c>
      <c r="U168" s="7">
        <v>61.955681900776391</v>
      </c>
    </row>
    <row r="169" spans="3:24" x14ac:dyDescent="0.2">
      <c r="C169" s="10">
        <v>166</v>
      </c>
      <c r="D169" s="4" t="s">
        <v>18</v>
      </c>
      <c r="E169" s="4" t="s">
        <v>36</v>
      </c>
      <c r="F169" s="6">
        <v>45915</v>
      </c>
      <c r="G169" s="4" t="s">
        <v>42</v>
      </c>
      <c r="H169" s="4" t="s">
        <v>34</v>
      </c>
      <c r="I169" s="4" t="s">
        <v>88</v>
      </c>
      <c r="J169" s="4" t="s">
        <v>89</v>
      </c>
      <c r="K169" s="4" t="s">
        <v>90</v>
      </c>
      <c r="L169" s="7">
        <v>3.8388077910000002</v>
      </c>
      <c r="M169" s="7">
        <v>4.0270000000000001</v>
      </c>
      <c r="N169" s="7">
        <v>-0.36717153899999966</v>
      </c>
      <c r="O169" s="7">
        <v>-8.7297513894344227</v>
      </c>
      <c r="P169" s="7">
        <v>-2.3440000000000003</v>
      </c>
      <c r="Q169" s="7">
        <v>-36.791712447025589</v>
      </c>
      <c r="R169" s="8">
        <v>1248.6199999999999</v>
      </c>
      <c r="S169" s="9">
        <f t="shared" si="9"/>
        <v>174.49126322727273</v>
      </c>
      <c r="T169" s="7">
        <f t="shared" si="10"/>
        <v>7.1557737442343328</v>
      </c>
      <c r="U169" s="7">
        <v>61.147273771345709</v>
      </c>
    </row>
    <row r="170" spans="3:24" x14ac:dyDescent="0.2">
      <c r="C170" s="10">
        <v>167</v>
      </c>
      <c r="D170" s="4" t="s">
        <v>18</v>
      </c>
      <c r="E170" s="4" t="s">
        <v>36</v>
      </c>
      <c r="F170" s="6">
        <v>45915</v>
      </c>
      <c r="G170" s="4" t="s">
        <v>42</v>
      </c>
      <c r="H170" s="4" t="s">
        <v>34</v>
      </c>
      <c r="I170" s="4" t="s">
        <v>88</v>
      </c>
      <c r="J170" s="4" t="s">
        <v>89</v>
      </c>
      <c r="K170" s="4" t="s">
        <v>90</v>
      </c>
      <c r="L170" s="7">
        <v>3.8665110239999998</v>
      </c>
      <c r="M170" s="7">
        <v>4.0419999999999998</v>
      </c>
      <c r="N170" s="7">
        <v>-0.32047578849999914</v>
      </c>
      <c r="O170" s="7">
        <v>-7.6540911842195873</v>
      </c>
      <c r="P170" s="7">
        <v>-2.3780000000000001</v>
      </c>
      <c r="Q170" s="7">
        <v>-37.0404984423676</v>
      </c>
      <c r="R170" s="8">
        <v>1317.54</v>
      </c>
      <c r="S170" s="9">
        <f t="shared" si="9"/>
        <v>175.7505010909091</v>
      </c>
      <c r="T170" s="7">
        <f t="shared" si="10"/>
        <v>7.4966500341213038</v>
      </c>
      <c r="U170" s="7">
        <v>61.281966409905245</v>
      </c>
    </row>
    <row r="171" spans="3:24" x14ac:dyDescent="0.2">
      <c r="C171" s="10">
        <v>168</v>
      </c>
      <c r="D171" s="4" t="s">
        <v>18</v>
      </c>
      <c r="E171" s="4" t="s">
        <v>36</v>
      </c>
      <c r="F171" s="6">
        <v>45915</v>
      </c>
      <c r="G171" s="4" t="s">
        <v>42</v>
      </c>
      <c r="H171" s="4" t="s">
        <v>34</v>
      </c>
      <c r="I171" s="4" t="s">
        <v>88</v>
      </c>
      <c r="J171" s="4" t="s">
        <v>89</v>
      </c>
      <c r="K171" s="4" t="s">
        <v>90</v>
      </c>
      <c r="L171" s="7">
        <v>3.9708804899999994</v>
      </c>
      <c r="M171" s="7">
        <v>3.9929999999999999</v>
      </c>
      <c r="N171" s="7">
        <v>-0.35078053750000082</v>
      </c>
      <c r="O171" s="7">
        <v>-8.1167989638215747</v>
      </c>
      <c r="P171" s="7">
        <v>-2.3560000000000003</v>
      </c>
      <c r="Q171" s="7">
        <v>-37.108206016695547</v>
      </c>
      <c r="R171" s="8">
        <v>1189.77</v>
      </c>
      <c r="S171" s="9">
        <f t="shared" si="9"/>
        <v>180.49456772727271</v>
      </c>
      <c r="T171" s="7">
        <f t="shared" si="10"/>
        <v>6.5917219281510038</v>
      </c>
      <c r="U171" s="7">
        <v>62.756650757603417</v>
      </c>
      <c r="X171" s="3"/>
    </row>
    <row r="172" spans="3:24" x14ac:dyDescent="0.2">
      <c r="C172" s="10">
        <v>169</v>
      </c>
      <c r="D172" s="4" t="s">
        <v>18</v>
      </c>
      <c r="E172" s="4" t="s">
        <v>36</v>
      </c>
      <c r="F172" s="6">
        <v>45915</v>
      </c>
      <c r="G172" s="4" t="s">
        <v>42</v>
      </c>
      <c r="H172" s="4" t="s">
        <v>34</v>
      </c>
      <c r="I172" s="4" t="s">
        <v>88</v>
      </c>
      <c r="J172" s="4" t="s">
        <v>89</v>
      </c>
      <c r="K172" s="4" t="s">
        <v>90</v>
      </c>
      <c r="L172" s="7">
        <v>3.7865873985</v>
      </c>
      <c r="M172" s="7">
        <v>3.9750000000000001</v>
      </c>
      <c r="N172" s="7">
        <v>-0.3814068964999997</v>
      </c>
      <c r="O172" s="7">
        <v>-9.1508497734160095</v>
      </c>
      <c r="P172" s="7">
        <v>-2.3720000000000003</v>
      </c>
      <c r="Q172" s="7">
        <v>-37.371986765400976</v>
      </c>
      <c r="R172" s="8">
        <v>1364.21</v>
      </c>
      <c r="S172" s="9">
        <f t="shared" si="9"/>
        <v>172.11760902272727</v>
      </c>
      <c r="T172" s="7">
        <f t="shared" si="10"/>
        <v>7.9260338773347874</v>
      </c>
      <c r="U172" s="7">
        <v>61.120078126140157</v>
      </c>
    </row>
    <row r="173" spans="3:24" x14ac:dyDescent="0.2">
      <c r="C173" s="10">
        <v>170</v>
      </c>
      <c r="D173" s="4" t="s">
        <v>18</v>
      </c>
      <c r="E173" s="4" t="s">
        <v>36</v>
      </c>
      <c r="F173" s="6">
        <v>45915</v>
      </c>
      <c r="G173" s="4" t="s">
        <v>42</v>
      </c>
      <c r="H173" s="4" t="s">
        <v>34</v>
      </c>
      <c r="I173" s="4" t="s">
        <v>88</v>
      </c>
      <c r="J173" s="4" t="s">
        <v>89</v>
      </c>
      <c r="K173" s="4" t="s">
        <v>90</v>
      </c>
      <c r="L173" s="7">
        <v>3.84351669</v>
      </c>
      <c r="M173" s="7">
        <v>4.0190000000000001</v>
      </c>
      <c r="N173" s="7">
        <v>-0.37627538000000049</v>
      </c>
      <c r="O173" s="7">
        <v>-8.9169175579781701</v>
      </c>
      <c r="P173" s="7">
        <v>-2.3959999999999999</v>
      </c>
      <c r="Q173" s="7">
        <v>-37.349961028838656</v>
      </c>
      <c r="R173" s="8">
        <v>1212.95</v>
      </c>
      <c r="S173" s="9">
        <f t="shared" si="9"/>
        <v>174.7053040909091</v>
      </c>
      <c r="T173" s="7">
        <f t="shared" si="10"/>
        <v>6.9428344280196166</v>
      </c>
      <c r="U173" s="7">
        <v>61.27196423027582</v>
      </c>
    </row>
    <row r="174" spans="3:24" x14ac:dyDescent="0.2">
      <c r="C174" s="10">
        <v>171</v>
      </c>
      <c r="D174" s="4" t="s">
        <v>18</v>
      </c>
      <c r="E174" s="4" t="s">
        <v>36</v>
      </c>
      <c r="F174" s="6">
        <v>45915</v>
      </c>
      <c r="G174" s="4" t="s">
        <v>42</v>
      </c>
      <c r="H174" s="4" t="s">
        <v>34</v>
      </c>
      <c r="I174" s="4" t="s">
        <v>88</v>
      </c>
      <c r="J174" s="4" t="s">
        <v>89</v>
      </c>
      <c r="K174" s="4" t="s">
        <v>90</v>
      </c>
      <c r="L174" s="7">
        <v>3.8751860099999997</v>
      </c>
      <c r="M174" s="7">
        <v>3.9609999999999999</v>
      </c>
      <c r="N174" s="7">
        <v>-0.41712294499999958</v>
      </c>
      <c r="O174" s="7">
        <v>-9.7179152147028915</v>
      </c>
      <c r="P174" s="7">
        <v>-2.3300000000000005</v>
      </c>
      <c r="Q174" s="7">
        <v>-37.037037037037038</v>
      </c>
      <c r="R174" s="8">
        <v>1286.48</v>
      </c>
      <c r="S174" s="9">
        <f t="shared" si="9"/>
        <v>176.14481863636362</v>
      </c>
      <c r="T174" s="7">
        <f t="shared" si="10"/>
        <v>7.3035358630436429</v>
      </c>
      <c r="U174" s="7">
        <v>62.142796932810015</v>
      </c>
    </row>
    <row r="175" spans="3:24" x14ac:dyDescent="0.2">
      <c r="C175" s="10">
        <v>172</v>
      </c>
      <c r="D175" s="4" t="s">
        <v>18</v>
      </c>
      <c r="E175" s="4" t="s">
        <v>36</v>
      </c>
      <c r="F175" s="6">
        <v>45915</v>
      </c>
      <c r="G175" s="4" t="s">
        <v>42</v>
      </c>
      <c r="H175" s="4" t="s">
        <v>34</v>
      </c>
      <c r="I175" s="4" t="s">
        <v>88</v>
      </c>
      <c r="J175" s="4" t="s">
        <v>89</v>
      </c>
      <c r="K175" s="4" t="s">
        <v>90</v>
      </c>
      <c r="L175" s="7">
        <v>3.8407371860000001</v>
      </c>
      <c r="M175" s="7">
        <v>3.9870000000000001</v>
      </c>
      <c r="N175" s="7">
        <v>-0.38941443899999939</v>
      </c>
      <c r="O175" s="7">
        <v>-9.2056851271849975</v>
      </c>
      <c r="P175" s="7">
        <v>-2.3200000000000003</v>
      </c>
      <c r="Q175" s="7">
        <v>-36.784525130807047</v>
      </c>
      <c r="R175" s="8">
        <v>1147.83</v>
      </c>
      <c r="S175" s="9">
        <f t="shared" si="9"/>
        <v>174.57896300000002</v>
      </c>
      <c r="T175" s="7">
        <f t="shared" si="10"/>
        <v>6.5748471652910423</v>
      </c>
      <c r="U175" s="7">
        <v>61.55251986391275</v>
      </c>
    </row>
    <row r="176" spans="3:24" x14ac:dyDescent="0.2">
      <c r="C176" s="10">
        <v>173</v>
      </c>
      <c r="D176" s="4" t="s">
        <v>18</v>
      </c>
      <c r="E176" s="4" t="s">
        <v>36</v>
      </c>
      <c r="F176" s="6">
        <v>45915</v>
      </c>
      <c r="G176" s="4" t="s">
        <v>42</v>
      </c>
      <c r="H176" s="4" t="s">
        <v>34</v>
      </c>
      <c r="I176" s="4" t="s">
        <v>88</v>
      </c>
      <c r="J176" s="4" t="s">
        <v>89</v>
      </c>
      <c r="K176" s="4" t="s">
        <v>90</v>
      </c>
      <c r="L176" s="7">
        <v>3.7384498230000003</v>
      </c>
      <c r="M176" s="7">
        <v>3.98</v>
      </c>
      <c r="N176" s="7">
        <v>-0.4312710644999993</v>
      </c>
      <c r="O176" s="7">
        <v>-10.342924050213165</v>
      </c>
      <c r="P176" s="7">
        <v>-2.3249999999999997</v>
      </c>
      <c r="Q176" s="7">
        <v>-36.875495638382233</v>
      </c>
      <c r="R176" s="8">
        <v>1286.48</v>
      </c>
      <c r="S176" s="9">
        <f t="shared" si="9"/>
        <v>169.92953740909093</v>
      </c>
      <c r="T176" s="7">
        <f t="shared" si="10"/>
        <v>7.5706673460948037</v>
      </c>
      <c r="U176" s="7">
        <v>60.569911490983422</v>
      </c>
    </row>
    <row r="177" spans="3:21" x14ac:dyDescent="0.2">
      <c r="C177" s="10">
        <v>174</v>
      </c>
      <c r="D177" s="4" t="s">
        <v>19</v>
      </c>
      <c r="E177" s="4" t="s">
        <v>36</v>
      </c>
      <c r="F177" s="6">
        <v>45915</v>
      </c>
      <c r="G177" s="4" t="s">
        <v>43</v>
      </c>
      <c r="H177" s="4" t="s">
        <v>32</v>
      </c>
      <c r="I177" s="4" t="s">
        <v>88</v>
      </c>
      <c r="J177" s="4" t="s">
        <v>89</v>
      </c>
      <c r="K177" s="4" t="s">
        <v>90</v>
      </c>
      <c r="L177" s="7">
        <v>3.7480056480000004</v>
      </c>
      <c r="M177" s="7">
        <v>4.9379999999999997</v>
      </c>
      <c r="N177" s="7">
        <v>-0.48942183000000039</v>
      </c>
      <c r="O177" s="7">
        <v>-11.549975369277583</v>
      </c>
      <c r="P177" s="7">
        <v>-1.476</v>
      </c>
      <c r="Q177" s="7">
        <v>-23.012160898035546</v>
      </c>
      <c r="R177" s="8">
        <v>1147.83</v>
      </c>
      <c r="S177" s="9">
        <f t="shared" si="9"/>
        <v>170.3638930909091</v>
      </c>
      <c r="T177" s="7">
        <f t="shared" si="10"/>
        <v>6.7375191959689378</v>
      </c>
      <c r="U177" s="7">
        <v>51.203678418552677</v>
      </c>
    </row>
    <row r="178" spans="3:21" x14ac:dyDescent="0.2">
      <c r="C178" s="10">
        <v>175</v>
      </c>
      <c r="D178" s="4" t="s">
        <v>19</v>
      </c>
      <c r="E178" s="4" t="s">
        <v>36</v>
      </c>
      <c r="F178" s="6">
        <v>45915</v>
      </c>
      <c r="G178" s="4" t="s">
        <v>43</v>
      </c>
      <c r="H178" s="4" t="s">
        <v>32</v>
      </c>
      <c r="I178" s="4" t="s">
        <v>88</v>
      </c>
      <c r="J178" s="4" t="s">
        <v>89</v>
      </c>
      <c r="K178" s="4" t="s">
        <v>90</v>
      </c>
      <c r="L178" s="7">
        <v>3.7751046480000001</v>
      </c>
      <c r="M178" s="7">
        <v>4.9539999999999997</v>
      </c>
      <c r="N178" s="7">
        <v>-0.42430349700000036</v>
      </c>
      <c r="O178" s="7">
        <v>-10.103888032536078</v>
      </c>
      <c r="P178" s="7">
        <v>-1.4940000000000007</v>
      </c>
      <c r="Q178" s="7">
        <v>-23.169975186104228</v>
      </c>
      <c r="R178" s="8">
        <v>1168.42</v>
      </c>
      <c r="S178" s="9">
        <f t="shared" si="9"/>
        <v>171.59566581818183</v>
      </c>
      <c r="T178" s="7">
        <f t="shared" si="10"/>
        <v>6.8091463407824451</v>
      </c>
      <c r="U178" s="7">
        <v>51.396981384691543</v>
      </c>
    </row>
    <row r="179" spans="3:21" x14ac:dyDescent="0.2">
      <c r="C179" s="10">
        <v>176</v>
      </c>
      <c r="D179" s="4" t="s">
        <v>19</v>
      </c>
      <c r="E179" s="4" t="s">
        <v>36</v>
      </c>
      <c r="F179" s="6">
        <v>45915</v>
      </c>
      <c r="G179" s="4" t="s">
        <v>43</v>
      </c>
      <c r="H179" s="4" t="s">
        <v>32</v>
      </c>
      <c r="I179" s="4" t="s">
        <v>88</v>
      </c>
      <c r="J179" s="4" t="s">
        <v>89</v>
      </c>
      <c r="K179" s="4" t="s">
        <v>90</v>
      </c>
      <c r="L179" s="7">
        <v>3.7669808969999989</v>
      </c>
      <c r="M179" s="7">
        <v>4.992</v>
      </c>
      <c r="N179" s="7">
        <v>-0.4410680055000018</v>
      </c>
      <c r="O179" s="7">
        <v>-10.481532313894057</v>
      </c>
      <c r="P179" s="7">
        <v>-1.5010000000000003</v>
      </c>
      <c r="Q179" s="7">
        <v>-23.117203141845071</v>
      </c>
      <c r="R179" s="8">
        <v>1129.57</v>
      </c>
      <c r="S179" s="9">
        <f t="shared" si="9"/>
        <v>171.22640440909086</v>
      </c>
      <c r="T179" s="7">
        <f t="shared" si="10"/>
        <v>6.5969381527235296</v>
      </c>
      <c r="U179" s="7">
        <v>50.918548847398384</v>
      </c>
    </row>
    <row r="180" spans="3:21" x14ac:dyDescent="0.2">
      <c r="C180" s="10">
        <v>177</v>
      </c>
      <c r="D180" s="4" t="s">
        <v>19</v>
      </c>
      <c r="E180" s="4" t="s">
        <v>36</v>
      </c>
      <c r="F180" s="6">
        <v>45915</v>
      </c>
      <c r="G180" s="4" t="s">
        <v>43</v>
      </c>
      <c r="H180" s="4" t="s">
        <v>32</v>
      </c>
      <c r="I180" s="4" t="s">
        <v>88</v>
      </c>
      <c r="J180" s="4" t="s">
        <v>89</v>
      </c>
      <c r="K180" s="4" t="s">
        <v>90</v>
      </c>
      <c r="L180" s="7">
        <v>3.8914293240000002</v>
      </c>
      <c r="M180" s="7">
        <v>5.0119999999999996</v>
      </c>
      <c r="N180" s="7">
        <v>-0.41166791099999989</v>
      </c>
      <c r="O180" s="7">
        <v>-9.5667815184752598</v>
      </c>
      <c r="P180" s="7">
        <v>-1.5060000000000002</v>
      </c>
      <c r="Q180" s="7">
        <v>-23.105247008284753</v>
      </c>
      <c r="R180" s="8">
        <v>1214.8800000000001</v>
      </c>
      <c r="S180" s="9">
        <f t="shared" si="9"/>
        <v>176.88315109090911</v>
      </c>
      <c r="T180" s="7">
        <f t="shared" si="10"/>
        <v>6.8682629889130169</v>
      </c>
      <c r="U180" s="7">
        <v>52.29782833655041</v>
      </c>
    </row>
    <row r="181" spans="3:21" x14ac:dyDescent="0.2">
      <c r="C181" s="10">
        <v>178</v>
      </c>
      <c r="D181" s="4" t="s">
        <v>19</v>
      </c>
      <c r="E181" s="4" t="s">
        <v>36</v>
      </c>
      <c r="F181" s="6">
        <v>45915</v>
      </c>
      <c r="G181" s="4" t="s">
        <v>43</v>
      </c>
      <c r="H181" s="4" t="s">
        <v>32</v>
      </c>
      <c r="I181" s="4" t="s">
        <v>88</v>
      </c>
      <c r="J181" s="4" t="s">
        <v>89</v>
      </c>
      <c r="K181" s="4" t="s">
        <v>90</v>
      </c>
      <c r="L181" s="7">
        <v>3.7821601349999994</v>
      </c>
      <c r="M181" s="7">
        <v>4.8940000000000001</v>
      </c>
      <c r="N181" s="7">
        <v>-0.43452952500000075</v>
      </c>
      <c r="O181" s="7">
        <v>-10.304991830961558</v>
      </c>
      <c r="P181" s="7">
        <v>-1.5099999999999998</v>
      </c>
      <c r="Q181" s="7">
        <v>-23.579013116801995</v>
      </c>
      <c r="R181" s="8">
        <v>1083.76</v>
      </c>
      <c r="S181" s="9">
        <f t="shared" si="9"/>
        <v>171.91636977272725</v>
      </c>
      <c r="T181" s="7">
        <f t="shared" si="10"/>
        <v>6.3039953753835443</v>
      </c>
      <c r="U181" s="7">
        <v>52.075202321051563</v>
      </c>
    </row>
    <row r="182" spans="3:21" x14ac:dyDescent="0.2">
      <c r="C182" s="10">
        <v>179</v>
      </c>
      <c r="D182" s="4" t="s">
        <v>19</v>
      </c>
      <c r="E182" s="4" t="s">
        <v>36</v>
      </c>
      <c r="F182" s="6">
        <v>45915</v>
      </c>
      <c r="G182" s="4" t="s">
        <v>43</v>
      </c>
      <c r="H182" s="4" t="s">
        <v>32</v>
      </c>
      <c r="I182" s="4" t="s">
        <v>88</v>
      </c>
      <c r="J182" s="4" t="s">
        <v>89</v>
      </c>
      <c r="K182" s="4" t="s">
        <v>90</v>
      </c>
      <c r="L182" s="7">
        <v>3.8665506424999996</v>
      </c>
      <c r="M182" s="7">
        <v>4.9349999999999996</v>
      </c>
      <c r="N182" s="7">
        <v>-0.45382810750000102</v>
      </c>
      <c r="O182" s="7">
        <v>-10.504359311090514</v>
      </c>
      <c r="P182" s="7">
        <v>-1.5140000000000002</v>
      </c>
      <c r="Q182" s="7">
        <v>-23.476507985734226</v>
      </c>
      <c r="R182" s="8">
        <v>1141.3499999999999</v>
      </c>
      <c r="S182" s="9">
        <f t="shared" si="9"/>
        <v>175.75230193181815</v>
      </c>
      <c r="T182" s="7">
        <f t="shared" si="10"/>
        <v>6.4940827941063244</v>
      </c>
      <c r="U182" s="7">
        <v>52.728466616022665</v>
      </c>
    </row>
    <row r="183" spans="3:21" x14ac:dyDescent="0.2">
      <c r="C183" s="10">
        <v>180</v>
      </c>
      <c r="D183" s="4" t="s">
        <v>19</v>
      </c>
      <c r="E183" s="4" t="s">
        <v>36</v>
      </c>
      <c r="F183" s="6">
        <v>45915</v>
      </c>
      <c r="G183" s="4" t="s">
        <v>43</v>
      </c>
      <c r="H183" s="4" t="s">
        <v>32</v>
      </c>
      <c r="I183" s="4" t="s">
        <v>88</v>
      </c>
      <c r="J183" s="4" t="s">
        <v>89</v>
      </c>
      <c r="K183" s="4" t="s">
        <v>90</v>
      </c>
      <c r="L183" s="7">
        <v>3.8291698080000001</v>
      </c>
      <c r="M183" s="7">
        <v>4.9269999999999996</v>
      </c>
      <c r="N183" s="7">
        <v>-0.45318960900000027</v>
      </c>
      <c r="O183" s="7">
        <v>-10.582708382695293</v>
      </c>
      <c r="P183" s="7">
        <v>-1.5050000000000008</v>
      </c>
      <c r="Q183" s="7">
        <v>-23.398631840796032</v>
      </c>
      <c r="R183" s="8">
        <v>1187.29</v>
      </c>
      <c r="S183" s="9">
        <f t="shared" si="9"/>
        <v>174.0531730909091</v>
      </c>
      <c r="T183" s="7">
        <f t="shared" si="10"/>
        <v>6.821421172137268</v>
      </c>
      <c r="U183" s="7">
        <v>52.344374725760026</v>
      </c>
    </row>
    <row r="184" spans="3:21" x14ac:dyDescent="0.2">
      <c r="C184" s="10">
        <v>181</v>
      </c>
      <c r="D184" s="4" t="s">
        <v>19</v>
      </c>
      <c r="E184" s="4" t="s">
        <v>36</v>
      </c>
      <c r="F184" s="6">
        <v>45915</v>
      </c>
      <c r="G184" s="4" t="s">
        <v>43</v>
      </c>
      <c r="H184" s="4" t="s">
        <v>32</v>
      </c>
      <c r="I184" s="4" t="s">
        <v>88</v>
      </c>
      <c r="J184" s="4" t="s">
        <v>89</v>
      </c>
      <c r="K184" s="4" t="s">
        <v>90</v>
      </c>
      <c r="L184" s="7">
        <v>3.8208527280000002</v>
      </c>
      <c r="M184" s="7">
        <v>4.9219999999999997</v>
      </c>
      <c r="N184" s="7">
        <v>-0.43558441650000024</v>
      </c>
      <c r="O184" s="7">
        <v>-10.233545139104079</v>
      </c>
      <c r="P184" s="7">
        <v>-1.5040000000000004</v>
      </c>
      <c r="Q184" s="7">
        <v>-23.404917522564588</v>
      </c>
      <c r="R184" s="8">
        <v>1106.94</v>
      </c>
      <c r="S184" s="9">
        <f t="shared" si="9"/>
        <v>173.67512400000001</v>
      </c>
      <c r="T184" s="7">
        <f t="shared" si="10"/>
        <v>6.3736243539402917</v>
      </c>
      <c r="U184" s="7">
        <v>52.289106837227393</v>
      </c>
    </row>
    <row r="185" spans="3:21" x14ac:dyDescent="0.2">
      <c r="C185" s="10">
        <v>182</v>
      </c>
      <c r="D185" s="4" t="s">
        <v>19</v>
      </c>
      <c r="E185" s="4" t="s">
        <v>36</v>
      </c>
      <c r="F185" s="6">
        <v>45915</v>
      </c>
      <c r="G185" s="4" t="s">
        <v>43</v>
      </c>
      <c r="H185" s="4" t="s">
        <v>32</v>
      </c>
      <c r="I185" s="4" t="s">
        <v>88</v>
      </c>
      <c r="J185" s="4" t="s">
        <v>89</v>
      </c>
      <c r="K185" s="4" t="s">
        <v>90</v>
      </c>
      <c r="L185" s="7">
        <v>3.8353620560000001</v>
      </c>
      <c r="M185" s="7">
        <v>4.8499999999999996</v>
      </c>
      <c r="N185" s="7">
        <v>-0.43835660349999994</v>
      </c>
      <c r="O185" s="7">
        <v>-10.257029964421783</v>
      </c>
      <c r="P185" s="7">
        <v>-1.4450000000000003</v>
      </c>
      <c r="Q185" s="7">
        <v>-22.954725972994446</v>
      </c>
      <c r="R185" s="8">
        <v>1173.68</v>
      </c>
      <c r="S185" s="9">
        <f t="shared" si="9"/>
        <v>174.33463890909093</v>
      </c>
      <c r="T185" s="7">
        <f t="shared" si="10"/>
        <v>6.7323396391237589</v>
      </c>
      <c r="U185" s="7">
        <v>53.164883260859582</v>
      </c>
    </row>
    <row r="186" spans="3:21" x14ac:dyDescent="0.2">
      <c r="C186" s="10">
        <v>183</v>
      </c>
      <c r="D186" s="4" t="s">
        <v>20</v>
      </c>
      <c r="E186" s="4" t="s">
        <v>36</v>
      </c>
      <c r="F186" s="6">
        <v>45915</v>
      </c>
      <c r="G186" s="4" t="s">
        <v>43</v>
      </c>
      <c r="H186" s="4" t="s">
        <v>33</v>
      </c>
      <c r="I186" s="4" t="s">
        <v>88</v>
      </c>
      <c r="J186" s="4" t="s">
        <v>89</v>
      </c>
      <c r="K186" s="4" t="s">
        <v>90</v>
      </c>
      <c r="L186" s="7">
        <v>3.8524942329999998</v>
      </c>
      <c r="M186" s="7">
        <v>4.5570000000000004</v>
      </c>
      <c r="N186" s="7">
        <v>-0.41085551750000082</v>
      </c>
      <c r="O186" s="7">
        <v>-9.6369179528800366</v>
      </c>
      <c r="P186" s="7">
        <v>-1.8389999999999995</v>
      </c>
      <c r="Q186" s="7">
        <v>-28.752345215759846</v>
      </c>
      <c r="R186" s="7">
        <v>517.678</v>
      </c>
      <c r="S186" s="9">
        <f t="shared" si="9"/>
        <v>175.11337422727271</v>
      </c>
      <c r="T186" s="7">
        <f t="shared" si="10"/>
        <v>2.9562447887511221</v>
      </c>
      <c r="U186" s="7">
        <v>56.189998590511124</v>
      </c>
    </row>
    <row r="187" spans="3:21" x14ac:dyDescent="0.2">
      <c r="C187" s="10">
        <v>184</v>
      </c>
      <c r="D187" s="4" t="s">
        <v>20</v>
      </c>
      <c r="E187" s="4" t="s">
        <v>36</v>
      </c>
      <c r="F187" s="6">
        <v>45915</v>
      </c>
      <c r="G187" s="4" t="s">
        <v>43</v>
      </c>
      <c r="H187" s="4" t="s">
        <v>33</v>
      </c>
      <c r="I187" s="4" t="s">
        <v>88</v>
      </c>
      <c r="J187" s="4" t="s">
        <v>89</v>
      </c>
      <c r="K187" s="4" t="s">
        <v>90</v>
      </c>
      <c r="L187" s="7">
        <v>3.8746199625000002</v>
      </c>
      <c r="M187" s="7">
        <v>4.5919999999999996</v>
      </c>
      <c r="N187" s="7">
        <v>-0.44921509050000052</v>
      </c>
      <c r="O187" s="7">
        <v>-10.389274451816153</v>
      </c>
      <c r="P187" s="7">
        <v>-1.8570000000000002</v>
      </c>
      <c r="Q187" s="7">
        <v>-28.795162040626458</v>
      </c>
      <c r="R187" s="8">
        <v>531.24</v>
      </c>
      <c r="S187" s="9">
        <f t="shared" si="9"/>
        <v>176.11908920454547</v>
      </c>
      <c r="T187" s="7">
        <f t="shared" si="10"/>
        <v>3.0163680859319886</v>
      </c>
      <c r="U187" s="7">
        <v>56.10561146122366</v>
      </c>
    </row>
    <row r="188" spans="3:21" x14ac:dyDescent="0.2">
      <c r="C188" s="10">
        <v>185</v>
      </c>
      <c r="D188" s="4" t="s">
        <v>20</v>
      </c>
      <c r="E188" s="4" t="s">
        <v>36</v>
      </c>
      <c r="F188" s="6">
        <v>45915</v>
      </c>
      <c r="G188" s="4" t="s">
        <v>43</v>
      </c>
      <c r="H188" s="4" t="s">
        <v>33</v>
      </c>
      <c r="I188" s="4" t="s">
        <v>88</v>
      </c>
      <c r="J188" s="4" t="s">
        <v>89</v>
      </c>
      <c r="K188" s="4" t="s">
        <v>90</v>
      </c>
      <c r="L188" s="7">
        <v>3.8643916199999997</v>
      </c>
      <c r="M188" s="7">
        <v>4.5750000000000002</v>
      </c>
      <c r="N188" s="7">
        <v>-0.45080267549999986</v>
      </c>
      <c r="O188" s="7">
        <v>-10.446868544716722</v>
      </c>
      <c r="P188" s="7">
        <v>-1.891</v>
      </c>
      <c r="Q188" s="7">
        <v>-29.245283018867923</v>
      </c>
      <c r="R188" s="8">
        <v>498.76</v>
      </c>
      <c r="S188" s="9">
        <f t="shared" si="9"/>
        <v>175.65416454545453</v>
      </c>
      <c r="T188" s="7">
        <f t="shared" si="10"/>
        <v>2.839443068660831</v>
      </c>
      <c r="U188" s="7">
        <v>56.152362103392491</v>
      </c>
    </row>
    <row r="189" spans="3:21" x14ac:dyDescent="0.2">
      <c r="C189" s="10">
        <v>186</v>
      </c>
      <c r="D189" s="4" t="s">
        <v>20</v>
      </c>
      <c r="E189" s="4" t="s">
        <v>36</v>
      </c>
      <c r="F189" s="6">
        <v>45915</v>
      </c>
      <c r="G189" s="4" t="s">
        <v>43</v>
      </c>
      <c r="H189" s="4" t="s">
        <v>33</v>
      </c>
      <c r="I189" s="4" t="s">
        <v>88</v>
      </c>
      <c r="J189" s="4" t="s">
        <v>89</v>
      </c>
      <c r="K189" s="4" t="s">
        <v>90</v>
      </c>
      <c r="L189" s="7">
        <v>3.7859302800000005</v>
      </c>
      <c r="M189" s="7">
        <v>4.5259999999999998</v>
      </c>
      <c r="N189" s="7">
        <v>-0.56037074249999907</v>
      </c>
      <c r="O189" s="7">
        <v>-12.893049505753581</v>
      </c>
      <c r="P189" s="7">
        <v>-1.875</v>
      </c>
      <c r="Q189" s="7">
        <v>-29.292298078425251</v>
      </c>
      <c r="R189" s="8">
        <v>556.19000000000005</v>
      </c>
      <c r="S189" s="9">
        <f t="shared" si="9"/>
        <v>172.08774000000003</v>
      </c>
      <c r="T189" s="7">
        <f t="shared" si="10"/>
        <v>3.2320140876973569</v>
      </c>
      <c r="U189" s="7">
        <v>55.723001420504346</v>
      </c>
    </row>
    <row r="190" spans="3:21" x14ac:dyDescent="0.2">
      <c r="C190" s="10">
        <v>187</v>
      </c>
      <c r="D190" s="4" t="s">
        <v>20</v>
      </c>
      <c r="E190" s="4" t="s">
        <v>36</v>
      </c>
      <c r="F190" s="6">
        <v>45915</v>
      </c>
      <c r="G190" s="4" t="s">
        <v>43</v>
      </c>
      <c r="H190" s="4" t="s">
        <v>33</v>
      </c>
      <c r="I190" s="4" t="s">
        <v>88</v>
      </c>
      <c r="J190" s="4" t="s">
        <v>89</v>
      </c>
      <c r="K190" s="4" t="s">
        <v>90</v>
      </c>
      <c r="L190" s="7">
        <v>3.8558292300000003</v>
      </c>
      <c r="M190" s="7">
        <v>4.5019999999999998</v>
      </c>
      <c r="N190" s="7">
        <v>-0.54058818599999992</v>
      </c>
      <c r="O190" s="7">
        <v>-12.296106917250913</v>
      </c>
      <c r="P190" s="7">
        <v>-1.9350000000000005</v>
      </c>
      <c r="Q190" s="7">
        <v>-30.060587230076131</v>
      </c>
      <c r="R190" s="8">
        <v>472.83</v>
      </c>
      <c r="S190" s="9">
        <f t="shared" si="9"/>
        <v>175.26496500000002</v>
      </c>
      <c r="T190" s="7">
        <f t="shared" si="10"/>
        <v>2.6978010123129854</v>
      </c>
      <c r="U190" s="7">
        <v>56.756191523362489</v>
      </c>
    </row>
    <row r="191" spans="3:21" x14ac:dyDescent="0.2">
      <c r="C191" s="10">
        <v>188</v>
      </c>
      <c r="D191" s="4" t="s">
        <v>20</v>
      </c>
      <c r="E191" s="4" t="s">
        <v>36</v>
      </c>
      <c r="F191" s="6">
        <v>45915</v>
      </c>
      <c r="G191" s="4" t="s">
        <v>43</v>
      </c>
      <c r="H191" s="4" t="s">
        <v>33</v>
      </c>
      <c r="I191" s="4" t="s">
        <v>88</v>
      </c>
      <c r="J191" s="4" t="s">
        <v>89</v>
      </c>
      <c r="K191" s="4" t="s">
        <v>90</v>
      </c>
      <c r="L191" s="7">
        <v>3.9142211999999996</v>
      </c>
      <c r="M191" s="7">
        <v>4.5190000000000001</v>
      </c>
      <c r="N191" s="7">
        <v>-0.49774957950000109</v>
      </c>
      <c r="O191" s="7">
        <v>-11.281796829044502</v>
      </c>
      <c r="P191" s="7">
        <v>-1.968</v>
      </c>
      <c r="Q191" s="7">
        <v>-30.337598273470018</v>
      </c>
      <c r="R191" s="8">
        <v>523.47</v>
      </c>
      <c r="S191" s="9">
        <f t="shared" si="9"/>
        <v>177.91914545454543</v>
      </c>
      <c r="T191" s="7">
        <f t="shared" si="10"/>
        <v>2.9421791492008684</v>
      </c>
      <c r="U191" s="7">
        <v>57.240441503313512</v>
      </c>
    </row>
    <row r="192" spans="3:21" x14ac:dyDescent="0.2">
      <c r="C192" s="10">
        <v>189</v>
      </c>
      <c r="D192" s="4" t="s">
        <v>21</v>
      </c>
      <c r="E192" s="4" t="s">
        <v>36</v>
      </c>
      <c r="F192" s="6">
        <v>45915</v>
      </c>
      <c r="G192" s="4" t="s">
        <v>43</v>
      </c>
      <c r="H192" s="4" t="s">
        <v>34</v>
      </c>
      <c r="I192" s="4" t="s">
        <v>88</v>
      </c>
      <c r="J192" s="4" t="s">
        <v>89</v>
      </c>
      <c r="K192" s="4" t="s">
        <v>90</v>
      </c>
      <c r="L192" s="7">
        <v>3.9553153200000004</v>
      </c>
      <c r="M192" s="7">
        <v>4.3099999999999996</v>
      </c>
      <c r="N192" s="7">
        <v>-0.38752939949999998</v>
      </c>
      <c r="O192" s="7">
        <v>-8.9233998572395876</v>
      </c>
      <c r="P192" s="7">
        <v>-2.0780000000000003</v>
      </c>
      <c r="Q192" s="7">
        <v>-32.529743268628685</v>
      </c>
      <c r="R192" s="8">
        <v>541.91999999999996</v>
      </c>
      <c r="S192" s="9">
        <f t="shared" si="9"/>
        <v>179.78706000000003</v>
      </c>
      <c r="T192" s="7">
        <f t="shared" si="10"/>
        <v>3.0142325037185649</v>
      </c>
      <c r="U192" s="7">
        <v>59.641743650003207</v>
      </c>
    </row>
    <row r="193" spans="3:21" x14ac:dyDescent="0.2">
      <c r="C193" s="10">
        <v>190</v>
      </c>
      <c r="D193" s="4" t="s">
        <v>21</v>
      </c>
      <c r="E193" s="4" t="s">
        <v>36</v>
      </c>
      <c r="F193" s="6">
        <v>45915</v>
      </c>
      <c r="G193" s="4" t="s">
        <v>43</v>
      </c>
      <c r="H193" s="4" t="s">
        <v>34</v>
      </c>
      <c r="I193" s="4" t="s">
        <v>88</v>
      </c>
      <c r="J193" s="4" t="s">
        <v>89</v>
      </c>
      <c r="K193" s="4" t="s">
        <v>90</v>
      </c>
      <c r="L193" s="7">
        <v>4.0207340980000001</v>
      </c>
      <c r="M193" s="7">
        <v>4.298</v>
      </c>
      <c r="N193" s="7">
        <v>-0.46727534749999933</v>
      </c>
      <c r="O193" s="7">
        <v>-10.411639128088805</v>
      </c>
      <c r="P193" s="7">
        <v>-2.2210000000000001</v>
      </c>
      <c r="Q193" s="7">
        <v>-34.069642583218283</v>
      </c>
      <c r="R193" s="8">
        <v>506.15</v>
      </c>
      <c r="S193" s="9">
        <f t="shared" si="9"/>
        <v>182.76064081818183</v>
      </c>
      <c r="T193" s="7">
        <f t="shared" si="10"/>
        <v>2.7694693875774918</v>
      </c>
      <c r="U193" s="7">
        <v>60.408925010891089</v>
      </c>
    </row>
    <row r="194" spans="3:21" x14ac:dyDescent="0.2">
      <c r="C194" s="10">
        <v>191</v>
      </c>
      <c r="D194" s="4" t="s">
        <v>21</v>
      </c>
      <c r="E194" s="4" t="s">
        <v>36</v>
      </c>
      <c r="F194" s="6">
        <v>45915</v>
      </c>
      <c r="G194" s="4" t="s">
        <v>43</v>
      </c>
      <c r="H194" s="4" t="s">
        <v>34</v>
      </c>
      <c r="I194" s="4" t="s">
        <v>88</v>
      </c>
      <c r="J194" s="4" t="s">
        <v>89</v>
      </c>
      <c r="K194" s="4" t="s">
        <v>90</v>
      </c>
      <c r="L194" s="7">
        <v>4.0685436000000008</v>
      </c>
      <c r="M194" s="7">
        <v>4.2060000000000004</v>
      </c>
      <c r="N194" s="7">
        <v>-0.4730385419999994</v>
      </c>
      <c r="O194" s="7">
        <v>-10.415721376596856</v>
      </c>
      <c r="P194" s="7">
        <v>-2.3039999999999994</v>
      </c>
      <c r="Q194" s="7">
        <v>-35.39170506912442</v>
      </c>
      <c r="R194" s="8">
        <v>487.68</v>
      </c>
      <c r="S194" s="9">
        <f t="shared" si="9"/>
        <v>184.93380000000005</v>
      </c>
      <c r="T194" s="7">
        <f t="shared" si="10"/>
        <v>2.6370517450028057</v>
      </c>
      <c r="U194" s="7">
        <v>61.711660708815373</v>
      </c>
    </row>
    <row r="195" spans="3:21" x14ac:dyDescent="0.2">
      <c r="C195" s="10">
        <v>192</v>
      </c>
      <c r="D195" s="4" t="s">
        <v>21</v>
      </c>
      <c r="E195" s="4" t="s">
        <v>36</v>
      </c>
      <c r="F195" s="6">
        <v>45915</v>
      </c>
      <c r="G195" s="4" t="s">
        <v>43</v>
      </c>
      <c r="H195" s="4" t="s">
        <v>34</v>
      </c>
      <c r="I195" s="4" t="s">
        <v>88</v>
      </c>
      <c r="J195" s="4" t="s">
        <v>89</v>
      </c>
      <c r="K195" s="4" t="s">
        <v>90</v>
      </c>
      <c r="L195" s="7">
        <v>3.9983623679999996</v>
      </c>
      <c r="M195" s="7">
        <v>4.1859999999999999</v>
      </c>
      <c r="N195" s="7">
        <v>-0.51384119850000065</v>
      </c>
      <c r="O195" s="7">
        <v>-11.387810654530686</v>
      </c>
      <c r="P195" s="7">
        <v>-2.2450000000000001</v>
      </c>
      <c r="Q195" s="7">
        <v>-34.909034364795524</v>
      </c>
      <c r="R195" s="8">
        <v>614.75</v>
      </c>
      <c r="S195" s="9">
        <f t="shared" si="9"/>
        <v>181.74374399999999</v>
      </c>
      <c r="T195" s="7">
        <f t="shared" si="10"/>
        <v>3.3825098265830817</v>
      </c>
      <c r="U195" s="7">
        <v>61.224865890635293</v>
      </c>
    </row>
    <row r="196" spans="3:21" x14ac:dyDescent="0.2">
      <c r="C196" s="10">
        <v>193</v>
      </c>
      <c r="D196" s="4" t="s">
        <v>21</v>
      </c>
      <c r="E196" s="4" t="s">
        <v>36</v>
      </c>
      <c r="F196" s="6">
        <v>45915</v>
      </c>
      <c r="G196" s="4" t="s">
        <v>43</v>
      </c>
      <c r="H196" s="4" t="s">
        <v>34</v>
      </c>
      <c r="I196" s="4" t="s">
        <v>88</v>
      </c>
      <c r="J196" s="4" t="s">
        <v>89</v>
      </c>
      <c r="K196" s="4" t="s">
        <v>90</v>
      </c>
      <c r="L196" s="7">
        <v>3.8550346960000001</v>
      </c>
      <c r="M196" s="7">
        <v>4.2610000000000001</v>
      </c>
      <c r="N196" s="7">
        <v>-0.62433399199999995</v>
      </c>
      <c r="O196" s="7">
        <v>-13.937990718927844</v>
      </c>
      <c r="P196" s="7">
        <v>-2.2299999999999995</v>
      </c>
      <c r="Q196" s="7">
        <v>-34.355261130796485</v>
      </c>
      <c r="R196" s="8">
        <v>765.9</v>
      </c>
      <c r="S196" s="9">
        <f t="shared" si="9"/>
        <v>175.22884981818183</v>
      </c>
      <c r="T196" s="7">
        <f t="shared" si="10"/>
        <v>4.3708556028000007</v>
      </c>
      <c r="U196" s="7">
        <v>59.062673293559683</v>
      </c>
    </row>
    <row r="197" spans="3:21" x14ac:dyDescent="0.2">
      <c r="C197" s="10">
        <v>194</v>
      </c>
      <c r="D197" s="4" t="s">
        <v>21</v>
      </c>
      <c r="E197" s="4" t="s">
        <v>36</v>
      </c>
      <c r="F197" s="6">
        <v>45915</v>
      </c>
      <c r="G197" s="4" t="s">
        <v>43</v>
      </c>
      <c r="H197" s="4" t="s">
        <v>34</v>
      </c>
      <c r="I197" s="4" t="s">
        <v>88</v>
      </c>
      <c r="J197" s="4" t="s">
        <v>89</v>
      </c>
      <c r="K197" s="4" t="s">
        <v>90</v>
      </c>
      <c r="L197" s="7">
        <v>4.0157025000000006</v>
      </c>
      <c r="M197" s="7">
        <v>4.234</v>
      </c>
      <c r="N197" s="7">
        <v>-0.38244306749999879</v>
      </c>
      <c r="O197" s="7">
        <v>-8.6955527421841943</v>
      </c>
      <c r="P197" s="7">
        <v>-2.1859999999999999</v>
      </c>
      <c r="Q197" s="7">
        <v>-34.049844236760123</v>
      </c>
      <c r="R197" s="7">
        <v>485.14</v>
      </c>
      <c r="S197" s="9">
        <f t="shared" si="9"/>
        <v>182.53193181818185</v>
      </c>
      <c r="T197" s="7">
        <f t="shared" si="10"/>
        <v>2.657836331252128</v>
      </c>
      <c r="U197" s="7">
        <v>60.94959354812395</v>
      </c>
    </row>
    <row r="198" spans="3:21" x14ac:dyDescent="0.2">
      <c r="C198" s="10">
        <v>195</v>
      </c>
      <c r="D198" s="4" t="s">
        <v>23</v>
      </c>
      <c r="E198" s="4" t="s">
        <v>36</v>
      </c>
      <c r="F198" s="6">
        <v>45779</v>
      </c>
      <c r="G198" s="4" t="s">
        <v>44</v>
      </c>
      <c r="H198" s="4" t="s">
        <v>32</v>
      </c>
      <c r="I198" s="4" t="s">
        <v>88</v>
      </c>
      <c r="J198" s="4" t="s">
        <v>89</v>
      </c>
      <c r="K198" s="4" t="s">
        <v>90</v>
      </c>
      <c r="L198" s="7">
        <v>3.4163952900000001</v>
      </c>
      <c r="M198" s="7">
        <v>4.84</v>
      </c>
      <c r="N198" s="7">
        <v>-0.57793412600000016</v>
      </c>
      <c r="O198" s="7">
        <v>-14.468864878419435</v>
      </c>
      <c r="P198" s="7">
        <v>-1.5419999999999998</v>
      </c>
      <c r="Q198" s="7">
        <v>-24.161704794735194</v>
      </c>
      <c r="R198" s="7">
        <v>946.26099999999997</v>
      </c>
      <c r="S198" s="9">
        <f t="shared" si="9"/>
        <v>155.290695</v>
      </c>
      <c r="T198" s="7">
        <f t="shared" si="10"/>
        <v>6.0934816474354756</v>
      </c>
      <c r="U198" s="7">
        <v>47.529707764215054</v>
      </c>
    </row>
    <row r="199" spans="3:21" x14ac:dyDescent="0.2">
      <c r="C199" s="10">
        <v>196</v>
      </c>
      <c r="D199" s="4" t="s">
        <v>23</v>
      </c>
      <c r="E199" s="4" t="s">
        <v>36</v>
      </c>
      <c r="F199" s="6">
        <v>45779</v>
      </c>
      <c r="G199" s="4" t="s">
        <v>44</v>
      </c>
      <c r="H199" s="4" t="s">
        <v>32</v>
      </c>
      <c r="I199" s="4" t="s">
        <v>88</v>
      </c>
      <c r="J199" s="4" t="s">
        <v>89</v>
      </c>
      <c r="K199" s="4" t="s">
        <v>90</v>
      </c>
      <c r="L199" s="7">
        <v>3.4537029449999999</v>
      </c>
      <c r="M199" s="7">
        <v>4.8810000000000002</v>
      </c>
      <c r="N199" s="7">
        <v>-0.56436187499999946</v>
      </c>
      <c r="O199" s="7">
        <v>-14.045614002812417</v>
      </c>
      <c r="P199" s="7">
        <v>-1.5409999999999995</v>
      </c>
      <c r="Q199" s="7">
        <v>-23.995639987542813</v>
      </c>
      <c r="R199" s="7">
        <v>865.93499999999995</v>
      </c>
      <c r="S199" s="9">
        <f t="shared" si="9"/>
        <v>156.98649749999998</v>
      </c>
      <c r="T199" s="7">
        <f t="shared" si="10"/>
        <v>5.5159839463263394</v>
      </c>
      <c r="U199" s="7">
        <v>47.65682496246712</v>
      </c>
    </row>
    <row r="200" spans="3:21" x14ac:dyDescent="0.2">
      <c r="C200" s="10">
        <v>197</v>
      </c>
      <c r="D200" s="4" t="s">
        <v>23</v>
      </c>
      <c r="E200" s="4" t="s">
        <v>36</v>
      </c>
      <c r="F200" s="6">
        <v>45779</v>
      </c>
      <c r="G200" s="4" t="s">
        <v>44</v>
      </c>
      <c r="H200" s="4" t="s">
        <v>32</v>
      </c>
      <c r="I200" s="4" t="s">
        <v>88</v>
      </c>
      <c r="J200" s="4" t="s">
        <v>89</v>
      </c>
      <c r="K200" s="4" t="s">
        <v>90</v>
      </c>
      <c r="L200" s="7">
        <v>3.4161055180000002</v>
      </c>
      <c r="M200" s="7">
        <v>4.8680000000000003</v>
      </c>
      <c r="N200" s="7">
        <v>-0.53075308999999971</v>
      </c>
      <c r="O200" s="7">
        <v>-13.447481724432722</v>
      </c>
      <c r="P200" s="7">
        <v>-1.5869999999999997</v>
      </c>
      <c r="Q200" s="7">
        <v>-24.585592563903948</v>
      </c>
      <c r="R200" s="7">
        <v>982.45</v>
      </c>
      <c r="S200" s="9">
        <f t="shared" si="9"/>
        <v>155.27752354545456</v>
      </c>
      <c r="T200" s="7">
        <f t="shared" si="10"/>
        <v>6.3270586596675491</v>
      </c>
      <c r="U200" s="7">
        <v>47.221684065001327</v>
      </c>
    </row>
    <row r="201" spans="3:21" x14ac:dyDescent="0.2">
      <c r="C201" s="10">
        <v>198</v>
      </c>
      <c r="D201" s="4" t="s">
        <v>23</v>
      </c>
      <c r="E201" s="4" t="s">
        <v>36</v>
      </c>
      <c r="F201" s="6">
        <v>45779</v>
      </c>
      <c r="G201" s="4" t="s">
        <v>44</v>
      </c>
      <c r="H201" s="4" t="s">
        <v>32</v>
      </c>
      <c r="I201" s="4" t="s">
        <v>88</v>
      </c>
      <c r="J201" s="4" t="s">
        <v>89</v>
      </c>
      <c r="K201" s="4" t="s">
        <v>90</v>
      </c>
      <c r="L201" s="7">
        <v>3.4276525920000003</v>
      </c>
      <c r="M201" s="7">
        <v>4.9050000000000002</v>
      </c>
      <c r="N201" s="7">
        <v>-0.56667682399999997</v>
      </c>
      <c r="O201" s="7">
        <v>-14.187032790287018</v>
      </c>
      <c r="P201" s="7">
        <v>-1.6059999999999999</v>
      </c>
      <c r="Q201" s="7">
        <v>-24.665949930886192</v>
      </c>
      <c r="R201" s="7">
        <v>977.04100000000005</v>
      </c>
      <c r="S201" s="9">
        <f t="shared" si="9"/>
        <v>155.80239054545456</v>
      </c>
      <c r="T201" s="7">
        <f t="shared" si="10"/>
        <v>6.2710270142803317</v>
      </c>
      <c r="U201" s="7">
        <v>46.999685122503607</v>
      </c>
    </row>
    <row r="202" spans="3:21" x14ac:dyDescent="0.2">
      <c r="C202" s="10">
        <v>199</v>
      </c>
      <c r="D202" s="4" t="s">
        <v>23</v>
      </c>
      <c r="E202" s="4" t="s">
        <v>36</v>
      </c>
      <c r="F202" s="6">
        <v>45779</v>
      </c>
      <c r="G202" s="4" t="s">
        <v>44</v>
      </c>
      <c r="H202" s="4" t="s">
        <v>32</v>
      </c>
      <c r="I202" s="4" t="s">
        <v>88</v>
      </c>
      <c r="J202" s="4" t="s">
        <v>89</v>
      </c>
      <c r="K202" s="4" t="s">
        <v>90</v>
      </c>
      <c r="L202" s="7">
        <v>3.4164950709999999</v>
      </c>
      <c r="M202" s="7">
        <v>4.8680000000000003</v>
      </c>
      <c r="N202" s="7">
        <v>-0.5778343450000003</v>
      </c>
      <c r="O202" s="7">
        <v>-14.466366812045637</v>
      </c>
      <c r="P202" s="7">
        <v>-1.5829999999999993</v>
      </c>
      <c r="Q202" s="7">
        <v>-24.538831188962941</v>
      </c>
      <c r="R202" s="7">
        <v>1405.16</v>
      </c>
      <c r="S202" s="9">
        <f t="shared" si="9"/>
        <v>155.2952305</v>
      </c>
      <c r="T202" s="7">
        <f t="shared" si="10"/>
        <v>9.0483139467699232</v>
      </c>
      <c r="U202" s="7">
        <v>47.227701913960615</v>
      </c>
    </row>
    <row r="203" spans="3:21" x14ac:dyDescent="0.2">
      <c r="C203" s="10">
        <v>200</v>
      </c>
      <c r="D203" s="4" t="s">
        <v>23</v>
      </c>
      <c r="E203" s="4" t="s">
        <v>36</v>
      </c>
      <c r="F203" s="6">
        <v>45779</v>
      </c>
      <c r="G203" s="4" t="s">
        <v>44</v>
      </c>
      <c r="H203" s="4" t="s">
        <v>32</v>
      </c>
      <c r="I203" s="4" t="s">
        <v>88</v>
      </c>
      <c r="J203" s="4" t="s">
        <v>89</v>
      </c>
      <c r="K203" s="4" t="s">
        <v>90</v>
      </c>
      <c r="L203" s="7">
        <v>3.4123729710000004</v>
      </c>
      <c r="M203" s="7">
        <v>4.8639999999999999</v>
      </c>
      <c r="N203" s="7">
        <v>-0.55143949699999961</v>
      </c>
      <c r="O203" s="7">
        <v>-13.911846270523402</v>
      </c>
      <c r="P203" s="7">
        <v>-1.5590000000000002</v>
      </c>
      <c r="Q203" s="7">
        <v>-24.272146971820025</v>
      </c>
      <c r="R203" s="7">
        <v>1078.22</v>
      </c>
      <c r="S203" s="9">
        <f t="shared" si="9"/>
        <v>155.10786231818182</v>
      </c>
      <c r="T203" s="7">
        <f t="shared" si="10"/>
        <v>6.9514206687226752</v>
      </c>
      <c r="U203" s="7">
        <v>47.207368690604923</v>
      </c>
    </row>
    <row r="204" spans="3:21" x14ac:dyDescent="0.2">
      <c r="C204" s="10">
        <v>201</v>
      </c>
      <c r="D204" s="4" t="s">
        <v>23</v>
      </c>
      <c r="E204" s="4" t="s">
        <v>36</v>
      </c>
      <c r="F204" s="6">
        <v>45779</v>
      </c>
      <c r="G204" s="4" t="s">
        <v>44</v>
      </c>
      <c r="H204" s="4" t="s">
        <v>32</v>
      </c>
      <c r="I204" s="4" t="s">
        <v>88</v>
      </c>
      <c r="J204" s="4" t="s">
        <v>89</v>
      </c>
      <c r="K204" s="4" t="s">
        <v>90</v>
      </c>
      <c r="L204" s="7">
        <v>3.3604071749999993</v>
      </c>
      <c r="M204" s="7">
        <v>4.9029999999999996</v>
      </c>
      <c r="N204" s="7">
        <v>-0.57966988900000027</v>
      </c>
      <c r="O204" s="7">
        <v>-14.71214597035101</v>
      </c>
      <c r="P204" s="7">
        <v>-1.6230000000000002</v>
      </c>
      <c r="Q204" s="7">
        <v>-24.869751762182048</v>
      </c>
      <c r="R204" s="7">
        <v>1417.77</v>
      </c>
      <c r="S204" s="9">
        <f t="shared" si="9"/>
        <v>152.74578068181816</v>
      </c>
      <c r="T204" s="7">
        <f t="shared" si="10"/>
        <v>9.2818930491659852</v>
      </c>
      <c r="U204" s="7">
        <v>45.961134131731342</v>
      </c>
    </row>
    <row r="205" spans="3:21" x14ac:dyDescent="0.2">
      <c r="C205" s="10">
        <v>202</v>
      </c>
      <c r="D205" s="4" t="s">
        <v>23</v>
      </c>
      <c r="E205" s="4" t="s">
        <v>36</v>
      </c>
      <c r="F205" s="6">
        <v>45779</v>
      </c>
      <c r="G205" s="4" t="s">
        <v>44</v>
      </c>
      <c r="H205" s="4" t="s">
        <v>32</v>
      </c>
      <c r="I205" s="4" t="s">
        <v>88</v>
      </c>
      <c r="J205" s="4" t="s">
        <v>89</v>
      </c>
      <c r="K205" s="4" t="s">
        <v>90</v>
      </c>
      <c r="L205" s="7">
        <v>3.4175942099999999</v>
      </c>
      <c r="M205" s="7">
        <v>4.851</v>
      </c>
      <c r="N205" s="7">
        <v>-0.58182136400000006</v>
      </c>
      <c r="O205" s="7">
        <v>-14.547659607628463</v>
      </c>
      <c r="P205" s="7">
        <v>-1.657</v>
      </c>
      <c r="Q205" s="7">
        <v>-25.460971112476955</v>
      </c>
      <c r="R205" s="7">
        <v>1433.94</v>
      </c>
      <c r="S205" s="9">
        <f t="shared" si="9"/>
        <v>155.34519136363636</v>
      </c>
      <c r="T205" s="7">
        <f t="shared" si="10"/>
        <v>9.2306687282221258</v>
      </c>
      <c r="U205" s="7">
        <v>47.428905941800892</v>
      </c>
    </row>
    <row r="206" spans="3:21" x14ac:dyDescent="0.2">
      <c r="C206" s="10">
        <v>203</v>
      </c>
      <c r="D206" s="4" t="s">
        <v>23</v>
      </c>
      <c r="E206" s="4" t="s">
        <v>36</v>
      </c>
      <c r="F206" s="6">
        <v>45779</v>
      </c>
      <c r="G206" s="4" t="s">
        <v>44</v>
      </c>
      <c r="H206" s="4" t="s">
        <v>32</v>
      </c>
      <c r="I206" s="4" t="s">
        <v>88</v>
      </c>
      <c r="J206" s="4" t="s">
        <v>89</v>
      </c>
      <c r="K206" s="4" t="s">
        <v>90</v>
      </c>
      <c r="L206" s="7">
        <v>3.4192791000000002</v>
      </c>
      <c r="M206" s="7">
        <v>4.8680000000000003</v>
      </c>
      <c r="N206" s="7">
        <v>-0.53775182399999943</v>
      </c>
      <c r="O206" s="7">
        <v>-13.58978067971246</v>
      </c>
      <c r="P206" s="7">
        <v>-1.6429999999999998</v>
      </c>
      <c r="Q206" s="7">
        <v>-25.234219013976343</v>
      </c>
      <c r="R206" s="7">
        <v>1434.15</v>
      </c>
      <c r="S206" s="9">
        <f t="shared" si="9"/>
        <v>155.4217772727273</v>
      </c>
      <c r="T206" s="7">
        <f t="shared" si="10"/>
        <v>9.2274713696229114</v>
      </c>
      <c r="U206" s="7">
        <v>47.270669920950212</v>
      </c>
    </row>
    <row r="207" spans="3:21" x14ac:dyDescent="0.2">
      <c r="C207" s="10">
        <v>204</v>
      </c>
      <c r="D207" s="4" t="s">
        <v>23</v>
      </c>
      <c r="E207" s="4" t="s">
        <v>36</v>
      </c>
      <c r="F207" s="6">
        <v>45779</v>
      </c>
      <c r="G207" s="4" t="s">
        <v>44</v>
      </c>
      <c r="H207" s="4" t="s">
        <v>32</v>
      </c>
      <c r="I207" s="4" t="s">
        <v>88</v>
      </c>
      <c r="J207" s="4" t="s">
        <v>89</v>
      </c>
      <c r="K207" s="4" t="s">
        <v>90</v>
      </c>
      <c r="L207" s="7">
        <v>3.3998983199999997</v>
      </c>
      <c r="M207" s="7">
        <v>4.9080000000000004</v>
      </c>
      <c r="N207" s="7">
        <v>-0.57747723600000045</v>
      </c>
      <c r="O207" s="7">
        <v>-14.519052271261065</v>
      </c>
      <c r="P207" s="7">
        <v>-1.6479999999999997</v>
      </c>
      <c r="Q207" s="7">
        <v>-25.137278828553995</v>
      </c>
      <c r="R207" s="7">
        <v>1465.27</v>
      </c>
      <c r="S207" s="9">
        <f t="shared" si="9"/>
        <v>154.54083272727271</v>
      </c>
      <c r="T207" s="7">
        <f t="shared" si="10"/>
        <v>9.4814423744295979</v>
      </c>
      <c r="U207" s="7">
        <v>46.534348774942835</v>
      </c>
    </row>
    <row r="208" spans="3:21" x14ac:dyDescent="0.2">
      <c r="C208" s="10">
        <v>205</v>
      </c>
      <c r="D208" s="4" t="s">
        <v>23</v>
      </c>
      <c r="E208" s="4" t="s">
        <v>36</v>
      </c>
      <c r="F208" s="6">
        <v>45779</v>
      </c>
      <c r="G208" s="4" t="s">
        <v>44</v>
      </c>
      <c r="H208" s="4" t="s">
        <v>32</v>
      </c>
      <c r="I208" s="4" t="s">
        <v>88</v>
      </c>
      <c r="J208" s="4" t="s">
        <v>89</v>
      </c>
      <c r="K208" s="4" t="s">
        <v>90</v>
      </c>
      <c r="L208" s="7">
        <v>3.3244055459999999</v>
      </c>
      <c r="M208" s="7">
        <v>4.83</v>
      </c>
      <c r="N208" s="7">
        <v>-0.57837302599999996</v>
      </c>
      <c r="O208" s="7">
        <v>-14.819519358578665</v>
      </c>
      <c r="P208" s="7">
        <v>-1.6269999999999998</v>
      </c>
      <c r="Q208" s="7">
        <v>-25.197460120799132</v>
      </c>
      <c r="R208" s="7">
        <v>1401.05</v>
      </c>
      <c r="S208" s="9">
        <f t="shared" si="9"/>
        <v>151.109343</v>
      </c>
      <c r="T208" s="7">
        <f t="shared" si="10"/>
        <v>9.2717628982080882</v>
      </c>
      <c r="U208" s="7">
        <v>46.189209946382128</v>
      </c>
    </row>
    <row r="209" spans="3:21" x14ac:dyDescent="0.2">
      <c r="C209" s="10">
        <v>206</v>
      </c>
      <c r="D209" s="4" t="s">
        <v>23</v>
      </c>
      <c r="E209" s="4" t="s">
        <v>36</v>
      </c>
      <c r="F209" s="6">
        <v>45779</v>
      </c>
      <c r="G209" s="4" t="s">
        <v>44</v>
      </c>
      <c r="H209" s="4" t="s">
        <v>32</v>
      </c>
      <c r="I209" s="4" t="s">
        <v>88</v>
      </c>
      <c r="J209" s="4" t="s">
        <v>89</v>
      </c>
      <c r="K209" s="4" t="s">
        <v>90</v>
      </c>
      <c r="L209" s="7">
        <v>3.2727584175</v>
      </c>
      <c r="M209" s="7">
        <v>4.7480000000000002</v>
      </c>
      <c r="N209" s="7">
        <v>-0.53846931050000002</v>
      </c>
      <c r="O209" s="7">
        <v>-14.128500024913757</v>
      </c>
      <c r="P209" s="7">
        <v>-1.5489999999999995</v>
      </c>
      <c r="Q209" s="7">
        <v>-24.599015404160703</v>
      </c>
      <c r="R209" s="7">
        <v>1590.54</v>
      </c>
      <c r="S209" s="9">
        <f t="shared" si="9"/>
        <v>148.76174624999999</v>
      </c>
      <c r="T209" s="7">
        <f t="shared" si="10"/>
        <v>10.691861584678058</v>
      </c>
      <c r="U209" s="7">
        <v>46.268001050263329</v>
      </c>
    </row>
    <row r="210" spans="3:21" x14ac:dyDescent="0.2">
      <c r="C210" s="10">
        <v>207</v>
      </c>
      <c r="D210" s="4" t="s">
        <v>24</v>
      </c>
      <c r="E210" s="4" t="s">
        <v>36</v>
      </c>
      <c r="F210" s="6">
        <v>45779</v>
      </c>
      <c r="G210" s="4" t="s">
        <v>44</v>
      </c>
      <c r="H210" s="4" t="s">
        <v>32</v>
      </c>
      <c r="I210" s="4" t="s">
        <v>88</v>
      </c>
      <c r="J210" s="4" t="s">
        <v>89</v>
      </c>
      <c r="K210" s="4" t="s">
        <v>90</v>
      </c>
      <c r="L210" s="7">
        <v>3.3384693509999992</v>
      </c>
      <c r="M210" s="7">
        <v>4.968</v>
      </c>
      <c r="N210" s="7">
        <v>-0.50993616900000127</v>
      </c>
      <c r="O210" s="7">
        <v>-13.250583036270076</v>
      </c>
      <c r="P210" s="7">
        <v>-1.5469999999999997</v>
      </c>
      <c r="Q210" s="7">
        <v>-23.745203376822712</v>
      </c>
      <c r="R210" s="7">
        <v>7694.09</v>
      </c>
      <c r="S210" s="9">
        <f t="shared" si="9"/>
        <v>151.74860686363633</v>
      </c>
      <c r="T210" s="7">
        <f t="shared" si="10"/>
        <v>50.702870748026243</v>
      </c>
      <c r="U210" s="7">
        <v>44.884921604901074</v>
      </c>
    </row>
    <row r="211" spans="3:21" x14ac:dyDescent="0.2">
      <c r="C211" s="10">
        <v>208</v>
      </c>
      <c r="D211" s="4" t="s">
        <v>24</v>
      </c>
      <c r="E211" s="4" t="s">
        <v>36</v>
      </c>
      <c r="F211" s="6">
        <v>45779</v>
      </c>
      <c r="G211" s="4" t="s">
        <v>44</v>
      </c>
      <c r="H211" s="4" t="s">
        <v>32</v>
      </c>
      <c r="I211" s="4" t="s">
        <v>88</v>
      </c>
      <c r="J211" s="4" t="s">
        <v>89</v>
      </c>
      <c r="K211" s="4" t="s">
        <v>90</v>
      </c>
      <c r="L211" s="7">
        <v>3.2833058789999994</v>
      </c>
      <c r="M211" s="7">
        <v>4.9450000000000003</v>
      </c>
      <c r="N211" s="7">
        <v>-0.51760940100000097</v>
      </c>
      <c r="O211" s="7">
        <v>-13.618019947027099</v>
      </c>
      <c r="P211" s="7">
        <v>-1.5669999999999993</v>
      </c>
      <c r="Q211" s="7">
        <v>-24.063267813267807</v>
      </c>
      <c r="R211" s="7">
        <v>7718.07</v>
      </c>
      <c r="S211" s="9">
        <f t="shared" si="9"/>
        <v>149.2411763181818</v>
      </c>
      <c r="T211" s="7">
        <f t="shared" si="10"/>
        <v>51.715419232190278</v>
      </c>
      <c r="U211" s="7">
        <v>44.218371696782086</v>
      </c>
    </row>
    <row r="212" spans="3:21" x14ac:dyDescent="0.2">
      <c r="C212" s="10">
        <v>209</v>
      </c>
      <c r="D212" s="4" t="s">
        <v>24</v>
      </c>
      <c r="E212" s="4" t="s">
        <v>36</v>
      </c>
      <c r="F212" s="6">
        <v>45779</v>
      </c>
      <c r="G212" s="4" t="s">
        <v>44</v>
      </c>
      <c r="H212" s="4" t="s">
        <v>32</v>
      </c>
      <c r="I212" s="4" t="s">
        <v>88</v>
      </c>
      <c r="J212" s="4" t="s">
        <v>89</v>
      </c>
      <c r="K212" s="4" t="s">
        <v>90</v>
      </c>
      <c r="L212" s="7">
        <v>3.2691555150000005</v>
      </c>
      <c r="M212" s="7">
        <v>4.9260000000000002</v>
      </c>
      <c r="N212" s="7">
        <v>-0.53854408499999984</v>
      </c>
      <c r="O212" s="7">
        <v>-14.143554943252346</v>
      </c>
      <c r="P212" s="7">
        <v>-1.5729999999999995</v>
      </c>
      <c r="Q212" s="7">
        <v>-24.20372364979227</v>
      </c>
      <c r="R212" s="7">
        <v>7505.84</v>
      </c>
      <c r="S212" s="9">
        <f t="shared" si="9"/>
        <v>148.59797795454546</v>
      </c>
      <c r="T212" s="7">
        <f t="shared" si="10"/>
        <v>50.511050710905074</v>
      </c>
      <c r="U212" s="7">
        <v>44.19217941534837</v>
      </c>
    </row>
    <row r="213" spans="3:21" x14ac:dyDescent="0.2">
      <c r="C213" s="10">
        <v>210</v>
      </c>
      <c r="D213" s="4" t="s">
        <v>24</v>
      </c>
      <c r="E213" s="4" t="s">
        <v>36</v>
      </c>
      <c r="F213" s="6">
        <v>45779</v>
      </c>
      <c r="G213" s="4" t="s">
        <v>44</v>
      </c>
      <c r="H213" s="4" t="s">
        <v>32</v>
      </c>
      <c r="I213" s="4" t="s">
        <v>88</v>
      </c>
      <c r="J213" s="4" t="s">
        <v>89</v>
      </c>
      <c r="K213" s="4" t="s">
        <v>90</v>
      </c>
      <c r="L213" s="7">
        <v>3.2486668000000001</v>
      </c>
      <c r="M213" s="7">
        <v>4.891</v>
      </c>
      <c r="N213" s="7">
        <v>-0.50984648000000021</v>
      </c>
      <c r="O213" s="7">
        <v>-13.565110510930539</v>
      </c>
      <c r="P213" s="7">
        <v>-1.5590000000000002</v>
      </c>
      <c r="Q213" s="7">
        <v>-24.170542635658919</v>
      </c>
      <c r="R213" s="7">
        <v>1073.83</v>
      </c>
      <c r="S213" s="9">
        <f t="shared" si="9"/>
        <v>147.66667272727275</v>
      </c>
      <c r="T213" s="7">
        <f t="shared" si="10"/>
        <v>7.2719861575216003</v>
      </c>
      <c r="U213" s="7">
        <v>44.239234338175862</v>
      </c>
    </row>
    <row r="214" spans="3:21" x14ac:dyDescent="0.2">
      <c r="C214" s="10">
        <v>211</v>
      </c>
      <c r="D214" s="4" t="s">
        <v>24</v>
      </c>
      <c r="E214" s="4" t="s">
        <v>36</v>
      </c>
      <c r="F214" s="6">
        <v>45779</v>
      </c>
      <c r="G214" s="4" t="s">
        <v>44</v>
      </c>
      <c r="H214" s="4" t="s">
        <v>32</v>
      </c>
      <c r="I214" s="4" t="s">
        <v>88</v>
      </c>
      <c r="J214" s="4" t="s">
        <v>89</v>
      </c>
      <c r="K214" s="4" t="s">
        <v>90</v>
      </c>
      <c r="L214" s="7">
        <v>3.2317398749999997</v>
      </c>
      <c r="M214" s="7">
        <v>4.88</v>
      </c>
      <c r="N214" s="7">
        <v>-0.49454788500000024</v>
      </c>
      <c r="O214" s="7">
        <v>-13.271865106842961</v>
      </c>
      <c r="P214" s="7">
        <v>-1.5960000000000001</v>
      </c>
      <c r="Q214" s="7">
        <v>-24.644842495367509</v>
      </c>
      <c r="R214" s="7">
        <v>1042.6199999999999</v>
      </c>
      <c r="S214" s="9">
        <f t="shared" si="9"/>
        <v>146.89726704545453</v>
      </c>
      <c r="T214" s="7">
        <f t="shared" si="10"/>
        <v>7.0976133250823601</v>
      </c>
      <c r="U214" s="7">
        <v>44.073239885762547</v>
      </c>
    </row>
    <row r="215" spans="3:21" x14ac:dyDescent="0.2">
      <c r="C215" s="10">
        <v>212</v>
      </c>
      <c r="D215" s="4" t="s">
        <v>24</v>
      </c>
      <c r="E215" s="4" t="s">
        <v>36</v>
      </c>
      <c r="F215" s="6">
        <v>45779</v>
      </c>
      <c r="G215" s="4" t="s">
        <v>44</v>
      </c>
      <c r="H215" s="4" t="s">
        <v>32</v>
      </c>
      <c r="I215" s="4" t="s">
        <v>88</v>
      </c>
      <c r="J215" s="4" t="s">
        <v>89</v>
      </c>
      <c r="K215" s="4" t="s">
        <v>90</v>
      </c>
      <c r="L215" s="7">
        <v>3.2594638499999999</v>
      </c>
      <c r="M215" s="7">
        <v>4.9219999999999997</v>
      </c>
      <c r="N215" s="7">
        <v>-0.49565727000000015</v>
      </c>
      <c r="O215" s="7">
        <v>-13.19950153831523</v>
      </c>
      <c r="P215" s="7">
        <v>-1.5040000000000004</v>
      </c>
      <c r="Q215" s="7">
        <v>-23.404917522564588</v>
      </c>
      <c r="R215" s="7">
        <v>1241.3800000000001</v>
      </c>
      <c r="S215" s="9">
        <f t="shared" ref="S215:S259" si="11">L215/22*1000</f>
        <v>148.15744772727271</v>
      </c>
      <c r="T215" s="7">
        <f t="shared" ref="T215:T259" si="12">R215/S215</f>
        <v>8.3787890453210601</v>
      </c>
      <c r="U215" s="7">
        <v>44.071692558794204</v>
      </c>
    </row>
    <row r="216" spans="3:21" x14ac:dyDescent="0.2">
      <c r="C216" s="10">
        <v>213</v>
      </c>
      <c r="D216" s="4" t="s">
        <v>24</v>
      </c>
      <c r="E216" s="4" t="s">
        <v>36</v>
      </c>
      <c r="F216" s="6">
        <v>45779</v>
      </c>
      <c r="G216" s="4" t="s">
        <v>44</v>
      </c>
      <c r="H216" s="4" t="s">
        <v>32</v>
      </c>
      <c r="I216" s="4" t="s">
        <v>88</v>
      </c>
      <c r="J216" s="4" t="s">
        <v>89</v>
      </c>
      <c r="K216" s="4" t="s">
        <v>90</v>
      </c>
      <c r="L216" s="7">
        <v>3.2652381099999999</v>
      </c>
      <c r="M216" s="7">
        <v>4.9800000000000004</v>
      </c>
      <c r="N216" s="7">
        <v>-0.5002126699999998</v>
      </c>
      <c r="O216" s="7">
        <v>-13.28427057543426</v>
      </c>
      <c r="P216" s="7">
        <v>-1.4969999999999999</v>
      </c>
      <c r="Q216" s="7">
        <v>-23.112552107457155</v>
      </c>
      <c r="R216" s="7">
        <v>9915.43</v>
      </c>
      <c r="S216" s="9">
        <f t="shared" si="11"/>
        <v>148.41991409090906</v>
      </c>
      <c r="T216" s="7">
        <f t="shared" si="12"/>
        <v>66.806601127168662</v>
      </c>
      <c r="U216" s="7">
        <v>43.512712325765285</v>
      </c>
    </row>
    <row r="217" spans="3:21" x14ac:dyDescent="0.2">
      <c r="C217" s="10">
        <v>214</v>
      </c>
      <c r="D217" s="4" t="s">
        <v>24</v>
      </c>
      <c r="E217" s="4" t="s">
        <v>36</v>
      </c>
      <c r="F217" s="6">
        <v>45779</v>
      </c>
      <c r="G217" s="4" t="s">
        <v>44</v>
      </c>
      <c r="H217" s="4" t="s">
        <v>32</v>
      </c>
      <c r="I217" s="4" t="s">
        <v>88</v>
      </c>
      <c r="J217" s="4" t="s">
        <v>89</v>
      </c>
      <c r="K217" s="4" t="s">
        <v>90</v>
      </c>
      <c r="L217" s="7">
        <v>3.2464053599999998</v>
      </c>
      <c r="M217" s="7">
        <v>4.9370000000000003</v>
      </c>
      <c r="N217" s="7">
        <v>-0.4953313800000001</v>
      </c>
      <c r="O217" s="7">
        <v>-13.238007225489628</v>
      </c>
      <c r="P217" s="7">
        <v>-1.5350000000000001</v>
      </c>
      <c r="Q217" s="7">
        <v>-23.717552533992585</v>
      </c>
      <c r="R217" s="7">
        <v>9907.94</v>
      </c>
      <c r="S217" s="9">
        <f t="shared" si="11"/>
        <v>147.56387999999998</v>
      </c>
      <c r="T217" s="7">
        <f t="shared" si="12"/>
        <v>67.143395795773344</v>
      </c>
      <c r="U217" s="7">
        <v>43.675594519147829</v>
      </c>
    </row>
    <row r="218" spans="3:21" x14ac:dyDescent="0.2">
      <c r="C218" s="10">
        <v>215</v>
      </c>
      <c r="D218" s="4" t="s">
        <v>24</v>
      </c>
      <c r="E218" s="4" t="s">
        <v>36</v>
      </c>
      <c r="F218" s="6">
        <v>45779</v>
      </c>
      <c r="G218" s="4" t="s">
        <v>44</v>
      </c>
      <c r="H218" s="4" t="s">
        <v>32</v>
      </c>
      <c r="I218" s="4" t="s">
        <v>88</v>
      </c>
      <c r="J218" s="4" t="s">
        <v>89</v>
      </c>
      <c r="K218" s="4" t="s">
        <v>90</v>
      </c>
      <c r="L218" s="7">
        <v>3.275918136</v>
      </c>
      <c r="M218" s="7">
        <v>4.9660000000000002</v>
      </c>
      <c r="N218" s="7">
        <v>-0.48834694199999973</v>
      </c>
      <c r="O218" s="7">
        <v>-12.973234665489192</v>
      </c>
      <c r="P218" s="7">
        <v>-1.5369999999999999</v>
      </c>
      <c r="Q218" s="7">
        <v>-23.63524527141319</v>
      </c>
      <c r="R218" s="7">
        <v>9913.5499999999993</v>
      </c>
      <c r="S218" s="9">
        <f t="shared" si="11"/>
        <v>148.90536981818181</v>
      </c>
      <c r="T218" s="7">
        <f t="shared" si="12"/>
        <v>66.576175272287088</v>
      </c>
      <c r="U218" s="7">
        <v>43.855151963441521</v>
      </c>
    </row>
    <row r="219" spans="3:21" x14ac:dyDescent="0.2">
      <c r="C219" s="10">
        <v>216</v>
      </c>
      <c r="D219" s="4" t="s">
        <v>24</v>
      </c>
      <c r="E219" s="4" t="s">
        <v>36</v>
      </c>
      <c r="F219" s="6">
        <v>45779</v>
      </c>
      <c r="G219" s="4" t="s">
        <v>44</v>
      </c>
      <c r="H219" s="4" t="s">
        <v>32</v>
      </c>
      <c r="I219" s="4" t="s">
        <v>88</v>
      </c>
      <c r="J219" s="4" t="s">
        <v>89</v>
      </c>
      <c r="K219" s="4" t="s">
        <v>90</v>
      </c>
      <c r="L219" s="7">
        <v>3.2250304899999995</v>
      </c>
      <c r="M219" s="7">
        <v>4.8860000000000001</v>
      </c>
      <c r="N219" s="7">
        <v>-0.4896044900000005</v>
      </c>
      <c r="O219" s="7">
        <v>-13.180419950710757</v>
      </c>
      <c r="P219" s="7">
        <v>-1.5129999999999999</v>
      </c>
      <c r="Q219" s="7">
        <v>-23.64431942491014</v>
      </c>
      <c r="R219" s="7">
        <v>9954.7800000000007</v>
      </c>
      <c r="S219" s="9">
        <f t="shared" si="11"/>
        <v>146.59229499999998</v>
      </c>
      <c r="T219" s="7">
        <f t="shared" si="12"/>
        <v>67.907934724672955</v>
      </c>
      <c r="U219" s="7">
        <v>43.887983842607639</v>
      </c>
    </row>
    <row r="220" spans="3:21" x14ac:dyDescent="0.2">
      <c r="C220" s="10">
        <v>217</v>
      </c>
      <c r="D220" s="4" t="s">
        <v>24</v>
      </c>
      <c r="E220" s="4" t="s">
        <v>36</v>
      </c>
      <c r="F220" s="6">
        <v>45779</v>
      </c>
      <c r="G220" s="4" t="s">
        <v>44</v>
      </c>
      <c r="H220" s="4" t="s">
        <v>32</v>
      </c>
      <c r="I220" s="4" t="s">
        <v>88</v>
      </c>
      <c r="J220" s="4" t="s">
        <v>89</v>
      </c>
      <c r="K220" s="4" t="s">
        <v>90</v>
      </c>
      <c r="L220" s="7">
        <v>3.2836963679999998</v>
      </c>
      <c r="M220" s="7">
        <v>4.9800000000000004</v>
      </c>
      <c r="N220" s="7">
        <v>-0.50546845200000057</v>
      </c>
      <c r="O220" s="7">
        <v>-13.339838091286843</v>
      </c>
      <c r="P220" s="7">
        <v>-1.5269999999999992</v>
      </c>
      <c r="Q220" s="7">
        <v>-23.467035500230509</v>
      </c>
      <c r="R220" s="7">
        <v>9074.23</v>
      </c>
      <c r="S220" s="9">
        <f t="shared" si="11"/>
        <v>149.25892581818181</v>
      </c>
      <c r="T220" s="7">
        <f t="shared" si="12"/>
        <v>60.795225144884654</v>
      </c>
      <c r="U220" s="7">
        <v>43.83023770349876</v>
      </c>
    </row>
    <row r="221" spans="3:21" x14ac:dyDescent="0.2">
      <c r="C221" s="10">
        <v>218</v>
      </c>
      <c r="D221" s="4" t="s">
        <v>24</v>
      </c>
      <c r="E221" s="4" t="s">
        <v>36</v>
      </c>
      <c r="F221" s="6">
        <v>45779</v>
      </c>
      <c r="G221" s="4" t="s">
        <v>44</v>
      </c>
      <c r="H221" s="4" t="s">
        <v>32</v>
      </c>
      <c r="I221" s="4" t="s">
        <v>88</v>
      </c>
      <c r="J221" s="4" t="s">
        <v>89</v>
      </c>
      <c r="K221" s="4" t="s">
        <v>90</v>
      </c>
      <c r="L221" s="7">
        <v>3.2772928439999998</v>
      </c>
      <c r="M221" s="7">
        <v>4.9740000000000002</v>
      </c>
      <c r="N221" s="7">
        <v>-0.49323951600000049</v>
      </c>
      <c r="O221" s="7">
        <v>-13.081429063772854</v>
      </c>
      <c r="P221" s="7">
        <v>-1.5</v>
      </c>
      <c r="Q221" s="7">
        <v>-23.169601482854493</v>
      </c>
      <c r="R221" s="7">
        <v>9926.7999999999993</v>
      </c>
      <c r="S221" s="9">
        <f t="shared" si="11"/>
        <v>148.96785654545454</v>
      </c>
      <c r="T221" s="7">
        <f t="shared" si="12"/>
        <v>66.637194292790511</v>
      </c>
      <c r="U221" s="7">
        <v>43.788293878134063</v>
      </c>
    </row>
    <row r="222" spans="3:21" x14ac:dyDescent="0.2">
      <c r="C222" s="10">
        <v>219</v>
      </c>
      <c r="D222" s="4" t="s">
        <v>25</v>
      </c>
      <c r="E222" s="4" t="s">
        <v>36</v>
      </c>
      <c r="F222" s="6">
        <v>45802</v>
      </c>
      <c r="G222" s="4" t="s">
        <v>44</v>
      </c>
      <c r="H222" s="4" t="s">
        <v>32</v>
      </c>
      <c r="I222" s="4" t="s">
        <v>88</v>
      </c>
      <c r="J222" s="4" t="s">
        <v>89</v>
      </c>
      <c r="K222" s="4" t="s">
        <v>90</v>
      </c>
      <c r="L222" s="7">
        <v>3.6434321625000003</v>
      </c>
      <c r="M222" s="7">
        <v>5.0810000000000004</v>
      </c>
      <c r="N222" s="7">
        <v>-0.4124054694999999</v>
      </c>
      <c r="O222" s="7">
        <v>-10.168194758246177</v>
      </c>
      <c r="P222" s="7">
        <v>-1.3619999999999992</v>
      </c>
      <c r="Q222" s="7">
        <v>-21.139220859847885</v>
      </c>
      <c r="R222" s="7">
        <v>5131.0200000000004</v>
      </c>
      <c r="S222" s="9">
        <f t="shared" si="11"/>
        <v>165.61055284090912</v>
      </c>
      <c r="T222" s="7">
        <f t="shared" si="12"/>
        <v>30.982445937059488</v>
      </c>
      <c r="U222" s="7">
        <v>48.349474673336893</v>
      </c>
    </row>
    <row r="223" spans="3:21" x14ac:dyDescent="0.2">
      <c r="C223" s="10">
        <v>220</v>
      </c>
      <c r="D223" s="4" t="s">
        <v>25</v>
      </c>
      <c r="E223" s="4" t="s">
        <v>36</v>
      </c>
      <c r="F223" s="6">
        <v>45802</v>
      </c>
      <c r="G223" s="4" t="s">
        <v>44</v>
      </c>
      <c r="H223" s="4" t="s">
        <v>32</v>
      </c>
      <c r="I223" s="4" t="s">
        <v>88</v>
      </c>
      <c r="J223" s="4" t="s">
        <v>89</v>
      </c>
      <c r="K223" s="4" t="s">
        <v>90</v>
      </c>
      <c r="L223" s="7">
        <v>3.5977831249999999</v>
      </c>
      <c r="M223" s="7">
        <v>5.0309999999999997</v>
      </c>
      <c r="N223" s="7">
        <v>-0.39518647500000048</v>
      </c>
      <c r="O223" s="7">
        <v>-9.8970569422817647</v>
      </c>
      <c r="P223" s="7">
        <v>-1.3210000000000006</v>
      </c>
      <c r="Q223" s="7">
        <v>-20.79659949622167</v>
      </c>
      <c r="R223" s="8">
        <v>5198.4399999999996</v>
      </c>
      <c r="S223" s="9">
        <f t="shared" si="11"/>
        <v>163.53559659090908</v>
      </c>
      <c r="T223" s="7">
        <f t="shared" si="12"/>
        <v>31.787819339443924</v>
      </c>
      <c r="U223" s="7">
        <v>48.208847821161172</v>
      </c>
    </row>
    <row r="224" spans="3:21" x14ac:dyDescent="0.2">
      <c r="C224" s="10">
        <v>221</v>
      </c>
      <c r="D224" s="4" t="s">
        <v>25</v>
      </c>
      <c r="E224" s="4" t="s">
        <v>36</v>
      </c>
      <c r="F224" s="6">
        <v>45802</v>
      </c>
      <c r="G224" s="4" t="s">
        <v>44</v>
      </c>
      <c r="H224" s="4" t="s">
        <v>32</v>
      </c>
      <c r="I224" s="4" t="s">
        <v>88</v>
      </c>
      <c r="J224" s="4" t="s">
        <v>89</v>
      </c>
      <c r="K224" s="4" t="s">
        <v>90</v>
      </c>
      <c r="L224" s="7">
        <v>3.6247387500000001</v>
      </c>
      <c r="M224" s="7">
        <v>5.0549999999999997</v>
      </c>
      <c r="N224" s="7">
        <v>-0.40561184199999945</v>
      </c>
      <c r="O224" s="7">
        <v>-10.063934457838835</v>
      </c>
      <c r="P224" s="7">
        <v>-1.3490000000000002</v>
      </c>
      <c r="Q224" s="7">
        <v>-21.064959400374768</v>
      </c>
      <c r="R224" s="8">
        <v>5027.3100000000004</v>
      </c>
      <c r="S224" s="9">
        <f t="shared" si="11"/>
        <v>164.76085227272728</v>
      </c>
      <c r="T224" s="7">
        <f t="shared" si="12"/>
        <v>30.512770058255924</v>
      </c>
      <c r="U224" s="7">
        <v>48.348767970595894</v>
      </c>
    </row>
    <row r="225" spans="3:25" x14ac:dyDescent="0.2">
      <c r="C225" s="10">
        <v>222</v>
      </c>
      <c r="D225" s="4" t="s">
        <v>25</v>
      </c>
      <c r="E225" s="4" t="s">
        <v>36</v>
      </c>
      <c r="F225" s="6">
        <v>45802</v>
      </c>
      <c r="G225" s="4" t="s">
        <v>44</v>
      </c>
      <c r="H225" s="4" t="s">
        <v>32</v>
      </c>
      <c r="I225" s="4" t="s">
        <v>88</v>
      </c>
      <c r="J225" s="4" t="s">
        <v>89</v>
      </c>
      <c r="K225" s="4" t="s">
        <v>90</v>
      </c>
      <c r="L225" s="7">
        <v>3.6244312124999998</v>
      </c>
      <c r="M225" s="7">
        <v>5.0110000000000001</v>
      </c>
      <c r="N225" s="7">
        <v>-0.3311573955000009</v>
      </c>
      <c r="O225" s="7">
        <v>-8.3718866727002386</v>
      </c>
      <c r="P225" s="7">
        <v>-1.3019999999999996</v>
      </c>
      <c r="Q225" s="7">
        <v>-20.624108981466811</v>
      </c>
      <c r="R225" s="8">
        <v>5256.89</v>
      </c>
      <c r="S225" s="9">
        <f t="shared" si="11"/>
        <v>164.74687329545455</v>
      </c>
      <c r="T225" s="7">
        <f t="shared" si="12"/>
        <v>31.90889086296875</v>
      </c>
      <c r="U225" s="7">
        <v>48.794008849576812</v>
      </c>
    </row>
    <row r="226" spans="3:25" x14ac:dyDescent="0.2">
      <c r="C226" s="10">
        <v>223</v>
      </c>
      <c r="D226" s="4" t="s">
        <v>25</v>
      </c>
      <c r="E226" s="4" t="s">
        <v>36</v>
      </c>
      <c r="F226" s="6">
        <v>45802</v>
      </c>
      <c r="G226" s="4" t="s">
        <v>44</v>
      </c>
      <c r="H226" s="4" t="s">
        <v>32</v>
      </c>
      <c r="I226" s="4" t="s">
        <v>88</v>
      </c>
      <c r="J226" s="4" t="s">
        <v>89</v>
      </c>
      <c r="K226" s="4" t="s">
        <v>90</v>
      </c>
      <c r="L226" s="7">
        <v>3.6238139249999999</v>
      </c>
      <c r="M226" s="7">
        <v>4.9960000000000004</v>
      </c>
      <c r="N226" s="7">
        <v>-0.44221852299999975</v>
      </c>
      <c r="O226" s="7">
        <v>-10.875922134303631</v>
      </c>
      <c r="P226" s="7">
        <v>-1.3689999999999998</v>
      </c>
      <c r="Q226" s="7">
        <v>-21.508248232521598</v>
      </c>
      <c r="R226" s="8">
        <v>4972.1499999999996</v>
      </c>
      <c r="S226" s="9">
        <f t="shared" si="11"/>
        <v>164.71881477272726</v>
      </c>
      <c r="T226" s="7">
        <f t="shared" si="12"/>
        <v>30.185683443997473</v>
      </c>
      <c r="U226" s="7">
        <v>48.938593187552513</v>
      </c>
    </row>
    <row r="227" spans="3:25" x14ac:dyDescent="0.2">
      <c r="C227" s="10">
        <v>224</v>
      </c>
      <c r="D227" s="4" t="s">
        <v>25</v>
      </c>
      <c r="E227" s="4" t="s">
        <v>36</v>
      </c>
      <c r="F227" s="6">
        <v>45802</v>
      </c>
      <c r="G227" s="4" t="s">
        <v>44</v>
      </c>
      <c r="H227" s="4" t="s">
        <v>32</v>
      </c>
      <c r="I227" s="4" t="s">
        <v>88</v>
      </c>
      <c r="J227" s="4" t="s">
        <v>89</v>
      </c>
      <c r="K227" s="4" t="s">
        <v>90</v>
      </c>
      <c r="L227" s="7">
        <v>3.5962837875000009</v>
      </c>
      <c r="M227" s="7">
        <v>4.9960000000000004</v>
      </c>
      <c r="N227" s="7">
        <v>-0.39838494849999906</v>
      </c>
      <c r="O227" s="7">
        <v>-9.972915774210497</v>
      </c>
      <c r="P227" s="7">
        <v>-1.3489999999999993</v>
      </c>
      <c r="Q227" s="7">
        <v>-21.260835303388482</v>
      </c>
      <c r="R227" s="8">
        <v>5143.72</v>
      </c>
      <c r="S227" s="9">
        <f t="shared" si="11"/>
        <v>163.46744488636367</v>
      </c>
      <c r="T227" s="7">
        <f t="shared" si="12"/>
        <v>31.466326543341509</v>
      </c>
      <c r="U227" s="7">
        <v>48.54770981083567</v>
      </c>
    </row>
    <row r="228" spans="3:25" x14ac:dyDescent="0.2">
      <c r="C228" s="10">
        <v>225</v>
      </c>
      <c r="D228" s="4" t="s">
        <v>25</v>
      </c>
      <c r="E228" s="4" t="s">
        <v>36</v>
      </c>
      <c r="F228" s="6">
        <v>45802</v>
      </c>
      <c r="G228" s="4" t="s">
        <v>44</v>
      </c>
      <c r="H228" s="4" t="s">
        <v>32</v>
      </c>
      <c r="I228" s="4" t="s">
        <v>88</v>
      </c>
      <c r="J228" s="4" t="s">
        <v>89</v>
      </c>
      <c r="K228" s="4" t="s">
        <v>90</v>
      </c>
      <c r="L228" s="7">
        <v>3.5875687500000004</v>
      </c>
      <c r="M228" s="7">
        <v>4.9889999999999999</v>
      </c>
      <c r="N228" s="7">
        <v>-0.36632072199999932</v>
      </c>
      <c r="O228" s="7">
        <v>-9.264819479506162</v>
      </c>
      <c r="P228" s="7">
        <v>-1.3230000000000004</v>
      </c>
      <c r="Q228" s="7">
        <v>-20.960076045627382</v>
      </c>
      <c r="R228" s="8">
        <v>5308.54</v>
      </c>
      <c r="S228" s="9">
        <f t="shared" si="11"/>
        <v>163.07130681818182</v>
      </c>
      <c r="T228" s="7">
        <f t="shared" si="12"/>
        <v>32.553489044635029</v>
      </c>
      <c r="U228" s="7">
        <v>48.494986255586674</v>
      </c>
    </row>
    <row r="229" spans="3:25" x14ac:dyDescent="0.2">
      <c r="C229" s="10">
        <v>226</v>
      </c>
      <c r="D229" s="4" t="s">
        <v>26</v>
      </c>
      <c r="E229" s="4" t="s">
        <v>36</v>
      </c>
      <c r="F229" s="6">
        <v>45802</v>
      </c>
      <c r="G229" s="4" t="s">
        <v>44</v>
      </c>
      <c r="H229" s="4" t="s">
        <v>32</v>
      </c>
      <c r="I229" s="4" t="s">
        <v>88</v>
      </c>
      <c r="J229" s="4" t="s">
        <v>89</v>
      </c>
      <c r="K229" s="4" t="s">
        <v>90</v>
      </c>
      <c r="L229" s="7">
        <v>3.4851676124999993</v>
      </c>
      <c r="M229" s="7">
        <v>4.92</v>
      </c>
      <c r="N229" s="7">
        <v>-0.43473913950000043</v>
      </c>
      <c r="O229" s="7">
        <v>-11.090547990157916</v>
      </c>
      <c r="P229" s="7">
        <v>-1.3630000000000004</v>
      </c>
      <c r="Q229" s="7">
        <v>-21.693458538914538</v>
      </c>
      <c r="R229" s="8">
        <v>5627.88</v>
      </c>
      <c r="S229" s="9">
        <f t="shared" si="11"/>
        <v>158.41670965909088</v>
      </c>
      <c r="T229" s="7">
        <f t="shared" si="12"/>
        <v>35.52579782846815</v>
      </c>
      <c r="U229" s="7">
        <v>47.714932972331397</v>
      </c>
    </row>
    <row r="230" spans="3:25" x14ac:dyDescent="0.2">
      <c r="C230" s="10">
        <v>227</v>
      </c>
      <c r="D230" s="4" t="s">
        <v>26</v>
      </c>
      <c r="E230" s="4" t="s">
        <v>36</v>
      </c>
      <c r="F230" s="6">
        <v>45802</v>
      </c>
      <c r="G230" s="4" t="s">
        <v>44</v>
      </c>
      <c r="H230" s="4" t="s">
        <v>32</v>
      </c>
      <c r="I230" s="4" t="s">
        <v>88</v>
      </c>
      <c r="J230" s="4" t="s">
        <v>89</v>
      </c>
      <c r="K230" s="4" t="s">
        <v>90</v>
      </c>
      <c r="L230" s="7">
        <v>3.4186133999999999</v>
      </c>
      <c r="M230" s="7">
        <v>4.9749999999999996</v>
      </c>
      <c r="N230" s="7">
        <v>-0.40614173600000081</v>
      </c>
      <c r="O230" s="7">
        <v>-10.618764379900966</v>
      </c>
      <c r="P230" s="7">
        <v>-1.3780000000000001</v>
      </c>
      <c r="Q230" s="7">
        <v>-21.690539902408311</v>
      </c>
      <c r="R230" s="8">
        <v>5754.19</v>
      </c>
      <c r="S230" s="9">
        <f t="shared" si="11"/>
        <v>155.39151818181818</v>
      </c>
      <c r="T230" s="7">
        <f t="shared" si="12"/>
        <v>37.030270810966805</v>
      </c>
      <c r="U230" s="7">
        <v>46.101170942798255</v>
      </c>
    </row>
    <row r="231" spans="3:25" x14ac:dyDescent="0.2">
      <c r="C231" s="10">
        <v>228</v>
      </c>
      <c r="D231" s="4" t="s">
        <v>26</v>
      </c>
      <c r="E231" s="4" t="s">
        <v>36</v>
      </c>
      <c r="F231" s="6">
        <v>45802</v>
      </c>
      <c r="G231" s="4" t="s">
        <v>44</v>
      </c>
      <c r="H231" s="4" t="s">
        <v>32</v>
      </c>
      <c r="I231" s="4" t="s">
        <v>88</v>
      </c>
      <c r="J231" s="4" t="s">
        <v>89</v>
      </c>
      <c r="K231" s="4" t="s">
        <v>90</v>
      </c>
      <c r="L231" s="7">
        <v>3.2791905000000003</v>
      </c>
      <c r="M231" s="7">
        <v>4.883</v>
      </c>
      <c r="N231" s="7">
        <v>-0.39264239599999939</v>
      </c>
      <c r="O231" s="7">
        <v>-10.693362337587146</v>
      </c>
      <c r="P231" s="7">
        <v>-1.3230000000000004</v>
      </c>
      <c r="Q231" s="7">
        <v>-21.318079278117956</v>
      </c>
      <c r="R231" s="8">
        <v>5531.65</v>
      </c>
      <c r="S231" s="9">
        <f t="shared" si="11"/>
        <v>149.05411363636364</v>
      </c>
      <c r="T231" s="7">
        <f t="shared" si="12"/>
        <v>37.111689607541855</v>
      </c>
      <c r="U231" s="7">
        <v>44.848628997964028</v>
      </c>
    </row>
    <row r="232" spans="3:25" x14ac:dyDescent="0.2">
      <c r="C232" s="10">
        <v>229</v>
      </c>
      <c r="D232" s="4" t="s">
        <v>27</v>
      </c>
      <c r="E232" s="4" t="s">
        <v>36</v>
      </c>
      <c r="F232" s="6">
        <v>45802</v>
      </c>
      <c r="G232" s="4" t="s">
        <v>44</v>
      </c>
      <c r="H232" s="4" t="s">
        <v>32</v>
      </c>
      <c r="I232" s="4" t="s">
        <v>88</v>
      </c>
      <c r="J232" s="4" t="s">
        <v>89</v>
      </c>
      <c r="K232" s="4" t="s">
        <v>90</v>
      </c>
      <c r="L232" s="7">
        <v>3.7231927874999999</v>
      </c>
      <c r="M232" s="7">
        <v>5.0410000000000004</v>
      </c>
      <c r="N232" s="7">
        <v>-0.37342410849999963</v>
      </c>
      <c r="O232" s="7">
        <v>-9.1154266552143728</v>
      </c>
      <c r="P232" s="7">
        <v>-1.1949999999999994</v>
      </c>
      <c r="Q232" s="7">
        <v>-19.162924951892229</v>
      </c>
      <c r="R232" s="7">
        <v>5644.92</v>
      </c>
      <c r="S232" s="9">
        <f t="shared" si="11"/>
        <v>169.23603579545454</v>
      </c>
      <c r="T232" s="7">
        <f t="shared" si="12"/>
        <v>33.355307417048436</v>
      </c>
      <c r="U232" s="7">
        <v>49.853871566755743</v>
      </c>
    </row>
    <row r="233" spans="3:25" x14ac:dyDescent="0.2">
      <c r="C233" s="10">
        <v>230</v>
      </c>
      <c r="D233" s="4" t="s">
        <v>27</v>
      </c>
      <c r="E233" s="4" t="s">
        <v>36</v>
      </c>
      <c r="F233" s="6">
        <v>45802</v>
      </c>
      <c r="G233" s="4" t="s">
        <v>44</v>
      </c>
      <c r="H233" s="4" t="s">
        <v>32</v>
      </c>
      <c r="I233" s="4" t="s">
        <v>88</v>
      </c>
      <c r="J233" s="4" t="s">
        <v>89</v>
      </c>
      <c r="K233" s="4" t="s">
        <v>90</v>
      </c>
      <c r="L233" s="7">
        <v>3.6882928125000003</v>
      </c>
      <c r="M233" s="7">
        <v>5.0640000000000001</v>
      </c>
      <c r="N233" s="7">
        <v>-0.38283704350000036</v>
      </c>
      <c r="O233" s="7">
        <v>-9.4037050411393288</v>
      </c>
      <c r="P233" s="7">
        <v>-1.1920000000000002</v>
      </c>
      <c r="Q233" s="7">
        <v>-19.053708439897701</v>
      </c>
      <c r="R233" s="7">
        <v>6752.21</v>
      </c>
      <c r="S233" s="9">
        <f t="shared" si="11"/>
        <v>167.64967329545456</v>
      </c>
      <c r="T233" s="7">
        <f t="shared" si="12"/>
        <v>40.275712247290556</v>
      </c>
      <c r="U233" s="7">
        <v>49.148409551456808</v>
      </c>
    </row>
    <row r="234" spans="3:25" x14ac:dyDescent="0.2">
      <c r="C234" s="10">
        <v>231</v>
      </c>
      <c r="D234" s="4" t="s">
        <v>27</v>
      </c>
      <c r="E234" s="4" t="s">
        <v>36</v>
      </c>
      <c r="F234" s="6">
        <v>45802</v>
      </c>
      <c r="G234" s="4" t="s">
        <v>44</v>
      </c>
      <c r="H234" s="4" t="s">
        <v>32</v>
      </c>
      <c r="I234" s="4" t="s">
        <v>88</v>
      </c>
      <c r="J234" s="4" t="s">
        <v>89</v>
      </c>
      <c r="K234" s="4" t="s">
        <v>90</v>
      </c>
      <c r="L234" s="7">
        <v>3.6768121500000004</v>
      </c>
      <c r="M234" s="7">
        <v>5.069</v>
      </c>
      <c r="N234" s="7">
        <v>-0.38922029799999924</v>
      </c>
      <c r="O234" s="7">
        <v>-9.5724838150627392</v>
      </c>
      <c r="P234" s="7">
        <v>-1.2309999999999999</v>
      </c>
      <c r="Q234" s="7">
        <v>-19.539682539682538</v>
      </c>
      <c r="R234" s="8">
        <v>6893.18</v>
      </c>
      <c r="S234" s="9">
        <f t="shared" si="11"/>
        <v>167.127825</v>
      </c>
      <c r="T234" s="7">
        <f t="shared" si="12"/>
        <v>41.244957265494243</v>
      </c>
      <c r="U234" s="7">
        <v>48.939262306141821</v>
      </c>
    </row>
    <row r="235" spans="3:25" x14ac:dyDescent="0.2">
      <c r="C235" s="10">
        <v>232</v>
      </c>
      <c r="D235" s="4" t="s">
        <v>27</v>
      </c>
      <c r="E235" s="4" t="s">
        <v>36</v>
      </c>
      <c r="F235" s="6">
        <v>45802</v>
      </c>
      <c r="G235" s="4" t="s">
        <v>44</v>
      </c>
      <c r="H235" s="4" t="s">
        <v>32</v>
      </c>
      <c r="I235" s="4" t="s">
        <v>88</v>
      </c>
      <c r="J235" s="4" t="s">
        <v>89</v>
      </c>
      <c r="K235" s="4" t="s">
        <v>90</v>
      </c>
      <c r="L235" s="7">
        <v>3.7147484124999997</v>
      </c>
      <c r="M235" s="7">
        <v>5.05</v>
      </c>
      <c r="N235" s="7">
        <v>-0.37167366750000053</v>
      </c>
      <c r="O235" s="7">
        <v>-9.0953323035098848</v>
      </c>
      <c r="P235" s="7">
        <v>-1.2039999999999997</v>
      </c>
      <c r="Q235" s="7">
        <v>-19.251678925487685</v>
      </c>
      <c r="R235" s="8">
        <v>6598.77</v>
      </c>
      <c r="S235" s="9">
        <f t="shared" si="11"/>
        <v>168.85220056818181</v>
      </c>
      <c r="T235" s="7">
        <f t="shared" si="12"/>
        <v>39.080153991451503</v>
      </c>
      <c r="U235" s="7">
        <v>49.650146855796784</v>
      </c>
    </row>
    <row r="236" spans="3:25" x14ac:dyDescent="0.2">
      <c r="C236" s="10">
        <v>233</v>
      </c>
      <c r="D236" s="4" t="s">
        <v>27</v>
      </c>
      <c r="E236" s="4" t="s">
        <v>36</v>
      </c>
      <c r="F236" s="6">
        <v>45802</v>
      </c>
      <c r="G236" s="4" t="s">
        <v>44</v>
      </c>
      <c r="H236" s="4" t="s">
        <v>32</v>
      </c>
      <c r="I236" s="4" t="s">
        <v>88</v>
      </c>
      <c r="J236" s="4" t="s">
        <v>89</v>
      </c>
      <c r="K236" s="4" t="s">
        <v>90</v>
      </c>
      <c r="L236" s="7">
        <v>3.6997911749999992</v>
      </c>
      <c r="M236" s="7">
        <v>5.085</v>
      </c>
      <c r="N236" s="7">
        <v>-0.37643608899999981</v>
      </c>
      <c r="O236" s="7">
        <v>-9.234914164982138</v>
      </c>
      <c r="P236" s="7">
        <v>-1.2169999999999996</v>
      </c>
      <c r="Q236" s="7">
        <v>-19.311329736591553</v>
      </c>
      <c r="R236" s="8">
        <v>6824.73</v>
      </c>
      <c r="S236" s="9">
        <f t="shared" si="11"/>
        <v>168.17232613636361</v>
      </c>
      <c r="T236" s="7">
        <f t="shared" si="12"/>
        <v>40.581766077648965</v>
      </c>
      <c r="U236" s="7">
        <v>49.096226131375282</v>
      </c>
      <c r="Y236" s="5"/>
    </row>
    <row r="237" spans="3:25" x14ac:dyDescent="0.2">
      <c r="C237" s="10">
        <v>234</v>
      </c>
      <c r="D237" s="4" t="s">
        <v>27</v>
      </c>
      <c r="E237" s="4" t="s">
        <v>36</v>
      </c>
      <c r="F237" s="6">
        <v>45802</v>
      </c>
      <c r="G237" s="4" t="s">
        <v>44</v>
      </c>
      <c r="H237" s="4" t="s">
        <v>32</v>
      </c>
      <c r="I237" s="4" t="s">
        <v>88</v>
      </c>
      <c r="J237" s="4" t="s">
        <v>89</v>
      </c>
      <c r="K237" s="4" t="s">
        <v>90</v>
      </c>
      <c r="L237" s="7">
        <v>3.6842638500000002</v>
      </c>
      <c r="M237" s="7">
        <v>5.0209999999999999</v>
      </c>
      <c r="N237" s="7">
        <v>-0.38856514199999959</v>
      </c>
      <c r="O237" s="7">
        <v>-9.540423689853748</v>
      </c>
      <c r="P237" s="7">
        <v>-1.21</v>
      </c>
      <c r="Q237" s="7">
        <v>-19.419033862943348</v>
      </c>
      <c r="R237" s="8">
        <v>6671.42</v>
      </c>
      <c r="S237" s="9">
        <f t="shared" si="11"/>
        <v>167.46653863636365</v>
      </c>
      <c r="T237" s="7">
        <f t="shared" si="12"/>
        <v>39.837331411538287</v>
      </c>
      <c r="U237" s="7">
        <v>49.525069176855254</v>
      </c>
      <c r="Y237" s="2"/>
    </row>
    <row r="238" spans="3:25" x14ac:dyDescent="0.2">
      <c r="C238" s="10">
        <v>235</v>
      </c>
      <c r="D238" s="4" t="s">
        <v>28</v>
      </c>
      <c r="E238" s="4" t="s">
        <v>37</v>
      </c>
      <c r="F238" s="6">
        <v>45802</v>
      </c>
      <c r="G238" s="4" t="s">
        <v>44</v>
      </c>
      <c r="H238" s="4" t="s">
        <v>32</v>
      </c>
      <c r="I238" s="4" t="s">
        <v>88</v>
      </c>
      <c r="J238" s="4" t="s">
        <v>89</v>
      </c>
      <c r="K238" s="4" t="s">
        <v>90</v>
      </c>
      <c r="L238" s="7">
        <v>1.5047312424999999</v>
      </c>
      <c r="M238" s="7">
        <v>2.0070000000000001</v>
      </c>
      <c r="N238" s="7">
        <v>-0.17283186150000018</v>
      </c>
      <c r="O238" s="7">
        <v>-10.302555003021823</v>
      </c>
      <c r="P238" s="7">
        <v>-0.50299999999999967</v>
      </c>
      <c r="Q238" s="7">
        <v>-20.039840637450187</v>
      </c>
      <c r="R238" s="8">
        <v>943.67</v>
      </c>
      <c r="S238" s="9">
        <f t="shared" si="11"/>
        <v>68.396874659090898</v>
      </c>
      <c r="T238" s="7">
        <f t="shared" si="12"/>
        <v>13.796975442277363</v>
      </c>
      <c r="U238" s="7">
        <v>50.600259213177509</v>
      </c>
      <c r="Y238" s="3"/>
    </row>
    <row r="239" spans="3:25" x14ac:dyDescent="0.2">
      <c r="C239" s="10">
        <v>236</v>
      </c>
      <c r="D239" s="4" t="s">
        <v>28</v>
      </c>
      <c r="E239" s="4" t="s">
        <v>37</v>
      </c>
      <c r="F239" s="6">
        <v>45802</v>
      </c>
      <c r="G239" s="4" t="s">
        <v>44</v>
      </c>
      <c r="H239" s="4" t="s">
        <v>32</v>
      </c>
      <c r="I239" s="4" t="s">
        <v>88</v>
      </c>
      <c r="J239" s="4" t="s">
        <v>89</v>
      </c>
      <c r="K239" s="4" t="s">
        <v>90</v>
      </c>
      <c r="L239" s="7">
        <v>1.5032649579999999</v>
      </c>
      <c r="M239" s="7">
        <v>2.0310000000000001</v>
      </c>
      <c r="N239" s="7">
        <v>-0.17762499400000009</v>
      </c>
      <c r="O239" s="7">
        <v>-10.567318448697591</v>
      </c>
      <c r="P239" s="7">
        <v>-0.49699999999999989</v>
      </c>
      <c r="Q239" s="7">
        <v>-19.659810126582276</v>
      </c>
      <c r="R239" s="8">
        <v>1029.53</v>
      </c>
      <c r="S239" s="9">
        <f t="shared" si="11"/>
        <v>68.330225363636359</v>
      </c>
      <c r="T239" s="7">
        <f t="shared" si="12"/>
        <v>15.066977966501632</v>
      </c>
      <c r="U239" s="7">
        <v>49.960769176512507</v>
      </c>
      <c r="Y239" s="3"/>
    </row>
    <row r="240" spans="3:25" x14ac:dyDescent="0.2">
      <c r="C240" s="10">
        <v>237</v>
      </c>
      <c r="D240" s="4" t="s">
        <v>28</v>
      </c>
      <c r="E240" s="4" t="s">
        <v>37</v>
      </c>
      <c r="F240" s="6">
        <v>45802</v>
      </c>
      <c r="G240" s="4" t="s">
        <v>44</v>
      </c>
      <c r="H240" s="4" t="s">
        <v>32</v>
      </c>
      <c r="I240" s="4" t="s">
        <v>88</v>
      </c>
      <c r="J240" s="4" t="s">
        <v>89</v>
      </c>
      <c r="K240" s="4" t="s">
        <v>90</v>
      </c>
      <c r="L240" s="7">
        <v>1.4780447220000001</v>
      </c>
      <c r="M240" s="7">
        <v>1.9890000000000001</v>
      </c>
      <c r="N240" s="7">
        <v>-0.18038900599999974</v>
      </c>
      <c r="O240" s="7">
        <v>-10.87707051264214</v>
      </c>
      <c r="P240" s="7">
        <v>-0.48599999999999999</v>
      </c>
      <c r="Q240" s="7">
        <v>-19.636363636363637</v>
      </c>
      <c r="R240" s="8">
        <v>917.84</v>
      </c>
      <c r="S240" s="9">
        <f t="shared" si="11"/>
        <v>67.183851000000004</v>
      </c>
      <c r="T240" s="7">
        <f t="shared" si="12"/>
        <v>13.66161639052218</v>
      </c>
      <c r="U240" s="7">
        <v>50.15937909714571</v>
      </c>
    </row>
    <row r="241" spans="3:21" x14ac:dyDescent="0.2">
      <c r="C241" s="10">
        <v>238</v>
      </c>
      <c r="D241" s="4" t="s">
        <v>39</v>
      </c>
      <c r="E241" s="4" t="s">
        <v>36</v>
      </c>
      <c r="F241" s="6">
        <v>45802</v>
      </c>
      <c r="G241" s="4" t="s">
        <v>44</v>
      </c>
      <c r="H241" s="4" t="s">
        <v>32</v>
      </c>
      <c r="I241" s="4" t="s">
        <v>88</v>
      </c>
      <c r="J241" s="4" t="s">
        <v>89</v>
      </c>
      <c r="K241" s="4" t="s">
        <v>90</v>
      </c>
      <c r="L241" s="7">
        <v>1.3672605644999998</v>
      </c>
      <c r="M241" s="7">
        <v>1.93</v>
      </c>
      <c r="N241" s="7">
        <v>-0.17473348350000029</v>
      </c>
      <c r="O241" s="7">
        <v>-11.331657455269262</v>
      </c>
      <c r="P241" s="7">
        <v>-0.48299999999999987</v>
      </c>
      <c r="Q241" s="7">
        <v>-20.016576875259009</v>
      </c>
      <c r="R241" s="8">
        <v>627.55999999999995</v>
      </c>
      <c r="S241" s="9">
        <f t="shared" si="11"/>
        <v>62.14820747727272</v>
      </c>
      <c r="T241" s="7">
        <f t="shared" si="12"/>
        <v>10.097797273227798</v>
      </c>
      <c r="U241" s="7">
        <v>47.719196079043002</v>
      </c>
    </row>
    <row r="242" spans="3:21" x14ac:dyDescent="0.2">
      <c r="C242" s="10">
        <v>239</v>
      </c>
      <c r="D242" s="4" t="s">
        <v>39</v>
      </c>
      <c r="E242" s="4" t="s">
        <v>36</v>
      </c>
      <c r="F242" s="6">
        <v>45802</v>
      </c>
      <c r="G242" s="4" t="s">
        <v>44</v>
      </c>
      <c r="H242" s="4" t="s">
        <v>32</v>
      </c>
      <c r="I242" s="4" t="s">
        <v>88</v>
      </c>
      <c r="J242" s="4" t="s">
        <v>89</v>
      </c>
      <c r="K242" s="4" t="s">
        <v>90</v>
      </c>
      <c r="L242" s="7">
        <v>1.3655946400000001</v>
      </c>
      <c r="M242" s="7">
        <v>1.948</v>
      </c>
      <c r="N242" s="7">
        <v>-0.17473598399999979</v>
      </c>
      <c r="O242" s="7">
        <v>-11.344057001621998</v>
      </c>
      <c r="P242" s="7">
        <v>-0.46600000000000019</v>
      </c>
      <c r="Q242" s="7">
        <v>-19.304059652029835</v>
      </c>
      <c r="R242" s="8">
        <v>609.80999999999995</v>
      </c>
      <c r="S242" s="9">
        <f t="shared" si="11"/>
        <v>62.072483636363643</v>
      </c>
      <c r="T242" s="7">
        <f t="shared" si="12"/>
        <v>9.8241598253490494</v>
      </c>
      <c r="U242" s="7">
        <v>47.167229546135196</v>
      </c>
    </row>
    <row r="243" spans="3:21" x14ac:dyDescent="0.2">
      <c r="C243" s="10">
        <v>240</v>
      </c>
      <c r="D243" s="4" t="s">
        <v>39</v>
      </c>
      <c r="E243" s="4" t="s">
        <v>36</v>
      </c>
      <c r="F243" s="6">
        <v>45802</v>
      </c>
      <c r="G243" s="4" t="s">
        <v>44</v>
      </c>
      <c r="H243" s="4" t="s">
        <v>32</v>
      </c>
      <c r="I243" s="4" t="s">
        <v>88</v>
      </c>
      <c r="J243" s="4" t="s">
        <v>89</v>
      </c>
      <c r="K243" s="4" t="s">
        <v>90</v>
      </c>
      <c r="L243" s="7">
        <v>1.329685821</v>
      </c>
      <c r="M243" s="7">
        <v>1.919</v>
      </c>
      <c r="N243" s="7">
        <v>7.0473852999999975E-2</v>
      </c>
      <c r="O243" s="7">
        <v>5.5966632140522963</v>
      </c>
      <c r="P243" s="7">
        <v>-0.44899999999999984</v>
      </c>
      <c r="Q243" s="7">
        <v>-18.961148648648642</v>
      </c>
      <c r="R243" s="8">
        <v>682.29</v>
      </c>
      <c r="S243" s="9">
        <f t="shared" si="11"/>
        <v>60.440264590909095</v>
      </c>
      <c r="T243" s="7">
        <f t="shared" si="12"/>
        <v>11.288666663160575</v>
      </c>
      <c r="U243" s="7">
        <v>46.548219924145471</v>
      </c>
    </row>
    <row r="244" spans="3:21" x14ac:dyDescent="0.2">
      <c r="C244" s="10">
        <v>241</v>
      </c>
      <c r="D244" s="4" t="s">
        <v>39</v>
      </c>
      <c r="E244" s="4" t="s">
        <v>36</v>
      </c>
      <c r="F244" s="6">
        <v>45802</v>
      </c>
      <c r="G244" s="4" t="s">
        <v>44</v>
      </c>
      <c r="H244" s="4" t="s">
        <v>32</v>
      </c>
      <c r="I244" s="4" t="s">
        <v>88</v>
      </c>
      <c r="J244" s="4" t="s">
        <v>89</v>
      </c>
      <c r="K244" s="4" t="s">
        <v>90</v>
      </c>
      <c r="L244" s="7">
        <v>3.4581153749999998</v>
      </c>
      <c r="M244" s="7">
        <v>4.8890000000000002</v>
      </c>
      <c r="N244" s="7">
        <v>-0.34476000900000026</v>
      </c>
      <c r="O244" s="7">
        <v>-9.065771927487388</v>
      </c>
      <c r="P244" s="7">
        <v>-1.2279999999999998</v>
      </c>
      <c r="Q244" s="7">
        <v>-20.075200261566124</v>
      </c>
      <c r="R244" s="8">
        <v>5798.384</v>
      </c>
      <c r="S244" s="9">
        <f t="shared" si="11"/>
        <v>157.1870625</v>
      </c>
      <c r="T244" s="7">
        <f t="shared" si="12"/>
        <v>36.888430305770235</v>
      </c>
      <c r="U244" s="7">
        <v>47.637931520988047</v>
      </c>
    </row>
    <row r="245" spans="3:21" x14ac:dyDescent="0.2">
      <c r="C245" s="10">
        <v>242</v>
      </c>
      <c r="D245" s="4" t="s">
        <v>39</v>
      </c>
      <c r="E245" s="4" t="s">
        <v>36</v>
      </c>
      <c r="F245" s="6">
        <v>45802</v>
      </c>
      <c r="G245" s="4" t="s">
        <v>44</v>
      </c>
      <c r="H245" s="4" t="s">
        <v>32</v>
      </c>
      <c r="I245" s="4" t="s">
        <v>88</v>
      </c>
      <c r="J245" s="4" t="s">
        <v>89</v>
      </c>
      <c r="K245" s="4" t="s">
        <v>90</v>
      </c>
      <c r="L245" s="7">
        <v>3.4461269699999995</v>
      </c>
      <c r="M245" s="7">
        <v>4.84</v>
      </c>
      <c r="N245" s="7">
        <v>-0.33656508599999979</v>
      </c>
      <c r="O245" s="7">
        <v>-8.8975015945627867</v>
      </c>
      <c r="P245" s="7">
        <v>-1.2439999999999998</v>
      </c>
      <c r="Q245" s="7">
        <v>-20.447074293228138</v>
      </c>
      <c r="R245" s="8">
        <v>5689.92</v>
      </c>
      <c r="S245" s="9">
        <f t="shared" si="11"/>
        <v>156.642135</v>
      </c>
      <c r="T245" s="7">
        <f t="shared" si="12"/>
        <v>36.324326146346259</v>
      </c>
      <c r="U245" s="7">
        <v>47.982398553568309</v>
      </c>
    </row>
    <row r="246" spans="3:21" x14ac:dyDescent="0.2">
      <c r="C246" s="10">
        <v>243</v>
      </c>
      <c r="D246" s="4" t="s">
        <v>39</v>
      </c>
      <c r="E246" s="4" t="s">
        <v>36</v>
      </c>
      <c r="F246" s="6">
        <v>45802</v>
      </c>
      <c r="G246" s="4" t="s">
        <v>44</v>
      </c>
      <c r="H246" s="4" t="s">
        <v>32</v>
      </c>
      <c r="I246" s="4" t="s">
        <v>88</v>
      </c>
      <c r="J246" s="4" t="s">
        <v>89</v>
      </c>
      <c r="K246" s="4" t="s">
        <v>90</v>
      </c>
      <c r="L246" s="7">
        <v>3.4716106459999998</v>
      </c>
      <c r="M246" s="7">
        <v>4.9020000000000001</v>
      </c>
      <c r="N246" s="7">
        <v>-0.33126473800000023</v>
      </c>
      <c r="O246" s="7">
        <v>-8.7109017401344389</v>
      </c>
      <c r="P246" s="7">
        <v>-1.2509999999999994</v>
      </c>
      <c r="Q246" s="7">
        <v>-20.331545587518278</v>
      </c>
      <c r="R246" s="8">
        <v>5395.7169999999996</v>
      </c>
      <c r="S246" s="9">
        <f t="shared" si="11"/>
        <v>157.8004839090909</v>
      </c>
      <c r="T246" s="7">
        <f t="shared" si="12"/>
        <v>34.193285510508829</v>
      </c>
      <c r="U246" s="7">
        <v>47.702788685492592</v>
      </c>
    </row>
    <row r="247" spans="3:21" x14ac:dyDescent="0.2">
      <c r="C247" s="10">
        <v>244</v>
      </c>
      <c r="D247" s="4" t="s">
        <v>38</v>
      </c>
      <c r="E247" s="4" t="s">
        <v>37</v>
      </c>
      <c r="F247" s="6">
        <v>45802</v>
      </c>
      <c r="G247" s="4" t="s">
        <v>44</v>
      </c>
      <c r="H247" s="4" t="s">
        <v>32</v>
      </c>
      <c r="I247" s="4" t="s">
        <v>88</v>
      </c>
      <c r="J247" s="4" t="s">
        <v>89</v>
      </c>
      <c r="K247" s="4" t="s">
        <v>90</v>
      </c>
      <c r="L247" s="7">
        <v>3.4780207320000001</v>
      </c>
      <c r="M247" s="7">
        <v>4.92</v>
      </c>
      <c r="N247" s="7">
        <v>-0.3366282599999999</v>
      </c>
      <c r="O247" s="7">
        <v>-8.8246195313374702</v>
      </c>
      <c r="P247" s="7">
        <v>-1.266</v>
      </c>
      <c r="Q247" s="7">
        <v>-20.465567410281281</v>
      </c>
      <c r="R247" s="8">
        <v>4876.652</v>
      </c>
      <c r="S247" s="9">
        <f t="shared" si="11"/>
        <v>158.09185145454546</v>
      </c>
      <c r="T247" s="7">
        <f t="shared" si="12"/>
        <v>30.846953559792638</v>
      </c>
      <c r="U247" s="7">
        <v>47.607493956070471</v>
      </c>
    </row>
    <row r="248" spans="3:21" x14ac:dyDescent="0.2">
      <c r="C248" s="10">
        <v>245</v>
      </c>
      <c r="D248" s="4" t="s">
        <v>38</v>
      </c>
      <c r="E248" s="4" t="s">
        <v>37</v>
      </c>
      <c r="F248" s="6">
        <v>45802</v>
      </c>
      <c r="G248" s="4" t="s">
        <v>44</v>
      </c>
      <c r="H248" s="4" t="s">
        <v>32</v>
      </c>
      <c r="I248" s="4" t="s">
        <v>88</v>
      </c>
      <c r="J248" s="4" t="s">
        <v>89</v>
      </c>
      <c r="K248" s="4" t="s">
        <v>90</v>
      </c>
      <c r="L248" s="7">
        <v>3.479610321</v>
      </c>
      <c r="M248" s="7">
        <v>4.9000000000000004</v>
      </c>
      <c r="N248" s="7">
        <v>-0.32999283899999954</v>
      </c>
      <c r="O248" s="7">
        <v>-8.662131595879913</v>
      </c>
      <c r="P248" s="7">
        <v>-1.2589999999999995</v>
      </c>
      <c r="Q248" s="7">
        <v>-20.441630134762129</v>
      </c>
      <c r="R248" s="8">
        <v>6251.393</v>
      </c>
      <c r="S248" s="9">
        <f t="shared" si="11"/>
        <v>158.16410550000001</v>
      </c>
      <c r="T248" s="7">
        <f t="shared" si="12"/>
        <v>39.524726424100059</v>
      </c>
      <c r="U248" s="7">
        <v>47.844308776125885</v>
      </c>
    </row>
    <row r="249" spans="3:21" x14ac:dyDescent="0.2">
      <c r="C249" s="10">
        <v>246</v>
      </c>
      <c r="D249" s="4" t="s">
        <v>38</v>
      </c>
      <c r="E249" s="4" t="s">
        <v>37</v>
      </c>
      <c r="F249" s="6">
        <v>45802</v>
      </c>
      <c r="G249" s="4" t="s">
        <v>44</v>
      </c>
      <c r="H249" s="4" t="s">
        <v>32</v>
      </c>
      <c r="I249" s="4" t="s">
        <v>88</v>
      </c>
      <c r="J249" s="4" t="s">
        <v>89</v>
      </c>
      <c r="K249" s="4" t="s">
        <v>90</v>
      </c>
      <c r="L249" s="7">
        <v>3.4446393630000003</v>
      </c>
      <c r="M249" s="7">
        <v>4.9409999999999998</v>
      </c>
      <c r="N249" s="7">
        <v>-0.3464624129999998</v>
      </c>
      <c r="O249" s="7">
        <v>-9.1388317558056453</v>
      </c>
      <c r="P249" s="7">
        <v>-1.2090000000000005</v>
      </c>
      <c r="Q249" s="7">
        <v>-19.658536585365859</v>
      </c>
      <c r="R249" s="8">
        <v>5794.51</v>
      </c>
      <c r="S249" s="9">
        <f t="shared" si="11"/>
        <v>156.57451650000002</v>
      </c>
      <c r="T249" s="7">
        <f t="shared" si="12"/>
        <v>37.008001873663773</v>
      </c>
      <c r="U249" s="7">
        <v>46.873974104324844</v>
      </c>
    </row>
    <row r="250" spans="3:21" x14ac:dyDescent="0.2">
      <c r="C250" s="10">
        <v>247</v>
      </c>
      <c r="D250" s="4" t="s">
        <v>41</v>
      </c>
      <c r="E250" s="4" t="s">
        <v>36</v>
      </c>
      <c r="F250" s="6">
        <v>45802</v>
      </c>
      <c r="G250" s="4" t="s">
        <v>44</v>
      </c>
      <c r="H250" s="4" t="s">
        <v>32</v>
      </c>
      <c r="I250" s="4" t="s">
        <v>88</v>
      </c>
      <c r="J250" s="4" t="s">
        <v>89</v>
      </c>
      <c r="K250" s="4" t="s">
        <v>90</v>
      </c>
      <c r="L250" s="7">
        <v>3.3056534159999997</v>
      </c>
      <c r="M250" s="7">
        <v>4.718</v>
      </c>
      <c r="N250" s="7">
        <v>-0.45793282399999935</v>
      </c>
      <c r="O250" s="7">
        <v>-12.16745930073332</v>
      </c>
      <c r="P250" s="7">
        <v>-1.7130000000000001</v>
      </c>
      <c r="Q250" s="7">
        <v>-26.636603949619037</v>
      </c>
      <c r="R250" s="8">
        <v>5176.34</v>
      </c>
      <c r="S250" s="9">
        <f t="shared" si="11"/>
        <v>150.25697345454543</v>
      </c>
      <c r="T250" s="7">
        <f t="shared" si="12"/>
        <v>34.449915241810096</v>
      </c>
      <c r="U250" s="7">
        <v>47.138819848759148</v>
      </c>
    </row>
    <row r="251" spans="3:21" x14ac:dyDescent="0.2">
      <c r="C251" s="10">
        <v>248</v>
      </c>
      <c r="D251" s="4" t="s">
        <v>41</v>
      </c>
      <c r="E251" s="4" t="s">
        <v>36</v>
      </c>
      <c r="F251" s="6">
        <v>45802</v>
      </c>
      <c r="G251" s="4" t="s">
        <v>44</v>
      </c>
      <c r="H251" s="4" t="s">
        <v>32</v>
      </c>
      <c r="I251" s="4" t="s">
        <v>88</v>
      </c>
      <c r="J251" s="4" t="s">
        <v>89</v>
      </c>
      <c r="K251" s="4" t="s">
        <v>90</v>
      </c>
      <c r="L251" s="7">
        <v>3.2711502450000003</v>
      </c>
      <c r="M251" s="7">
        <v>4.7009999999999996</v>
      </c>
      <c r="N251" s="7">
        <v>-0.45859079499999922</v>
      </c>
      <c r="O251" s="7">
        <v>-12.29551301502689</v>
      </c>
      <c r="P251" s="7">
        <v>-1.7920000000000007</v>
      </c>
      <c r="Q251" s="7">
        <v>-27.598952718312038</v>
      </c>
      <c r="R251" s="8">
        <v>5542.77</v>
      </c>
      <c r="S251" s="9">
        <f t="shared" si="11"/>
        <v>148.68864750000003</v>
      </c>
      <c r="T251" s="7">
        <f t="shared" si="12"/>
        <v>37.277694653857147</v>
      </c>
      <c r="U251" s="7">
        <v>46.773734597717606</v>
      </c>
    </row>
    <row r="252" spans="3:21" x14ac:dyDescent="0.2">
      <c r="C252" s="10">
        <v>249</v>
      </c>
      <c r="D252" s="4" t="s">
        <v>41</v>
      </c>
      <c r="E252" s="4" t="s">
        <v>36</v>
      </c>
      <c r="F252" s="6">
        <v>45802</v>
      </c>
      <c r="G252" s="4" t="s">
        <v>44</v>
      </c>
      <c r="H252" s="4" t="s">
        <v>32</v>
      </c>
      <c r="I252" s="4" t="s">
        <v>88</v>
      </c>
      <c r="J252" s="4" t="s">
        <v>89</v>
      </c>
      <c r="K252" s="4" t="s">
        <v>90</v>
      </c>
      <c r="L252" s="7">
        <v>3.1943152999999991</v>
      </c>
      <c r="M252" s="7">
        <v>4.6719999999999997</v>
      </c>
      <c r="N252" s="7">
        <v>-0.47619664000000084</v>
      </c>
      <c r="O252" s="7">
        <v>-12.973575560688705</v>
      </c>
      <c r="P252" s="7">
        <v>-1.7530000000000001</v>
      </c>
      <c r="Q252" s="7">
        <v>-27.284046692607006</v>
      </c>
      <c r="R252" s="8">
        <v>5928.16</v>
      </c>
      <c r="S252" s="9">
        <f t="shared" si="11"/>
        <v>145.19614999999996</v>
      </c>
      <c r="T252" s="7">
        <f t="shared" si="12"/>
        <v>40.828630786697865</v>
      </c>
      <c r="U252" s="7">
        <v>45.829694070263798</v>
      </c>
    </row>
    <row r="253" spans="3:21" x14ac:dyDescent="0.2">
      <c r="C253" s="10">
        <v>250</v>
      </c>
      <c r="D253" s="4" t="s">
        <v>41</v>
      </c>
      <c r="E253" s="4" t="s">
        <v>36</v>
      </c>
      <c r="F253" s="6">
        <v>45802</v>
      </c>
      <c r="G253" s="4" t="s">
        <v>44</v>
      </c>
      <c r="H253" s="4" t="s">
        <v>32</v>
      </c>
      <c r="I253" s="4" t="s">
        <v>88</v>
      </c>
      <c r="J253" s="4" t="s">
        <v>89</v>
      </c>
      <c r="K253" s="4" t="s">
        <v>90</v>
      </c>
      <c r="L253" s="7">
        <v>3.2532859449999991</v>
      </c>
      <c r="M253" s="7">
        <v>4.7320000000000002</v>
      </c>
      <c r="N253" s="7">
        <v>-0.47814735500000038</v>
      </c>
      <c r="O253" s="7">
        <v>-12.814039982973846</v>
      </c>
      <c r="P253" s="7">
        <v>-1.7889999999999997</v>
      </c>
      <c r="Q253" s="7">
        <v>-27.434442570157948</v>
      </c>
      <c r="R253" s="8">
        <v>5289.45</v>
      </c>
      <c r="S253" s="9">
        <f t="shared" si="11"/>
        <v>147.87663386363633</v>
      </c>
      <c r="T253" s="7">
        <f t="shared" si="12"/>
        <v>35.769342740636354</v>
      </c>
      <c r="U253" s="7">
        <v>46.128541351055659</v>
      </c>
    </row>
    <row r="254" spans="3:21" x14ac:dyDescent="0.2">
      <c r="C254" s="10">
        <v>251</v>
      </c>
      <c r="D254" s="4" t="s">
        <v>41</v>
      </c>
      <c r="E254" s="4" t="s">
        <v>36</v>
      </c>
      <c r="F254" s="6">
        <v>45802</v>
      </c>
      <c r="G254" s="4" t="s">
        <v>44</v>
      </c>
      <c r="H254" s="4" t="s">
        <v>32</v>
      </c>
      <c r="I254" s="4" t="s">
        <v>88</v>
      </c>
      <c r="J254" s="4" t="s">
        <v>89</v>
      </c>
      <c r="K254" s="4" t="s">
        <v>90</v>
      </c>
      <c r="L254" s="7">
        <v>3.2843468750000002</v>
      </c>
      <c r="M254" s="7">
        <v>4.7370000000000001</v>
      </c>
      <c r="N254" s="7">
        <v>-0.50293100499999888</v>
      </c>
      <c r="O254" s="7">
        <v>-13.279485185280333</v>
      </c>
      <c r="P254" s="7">
        <v>-1.8019999999999996</v>
      </c>
      <c r="Q254" s="7">
        <v>-27.557730539837895</v>
      </c>
      <c r="R254" s="8">
        <v>5713.68</v>
      </c>
      <c r="S254" s="9">
        <f t="shared" si="11"/>
        <v>149.28849431818185</v>
      </c>
      <c r="T254" s="7">
        <f t="shared" si="12"/>
        <v>38.27274182176631</v>
      </c>
      <c r="U254" s="7">
        <v>46.581633694082811</v>
      </c>
    </row>
    <row r="255" spans="3:21" x14ac:dyDescent="0.2">
      <c r="C255" s="10">
        <v>252</v>
      </c>
      <c r="D255" s="4" t="s">
        <v>41</v>
      </c>
      <c r="E255" s="4" t="s">
        <v>36</v>
      </c>
      <c r="F255" s="6">
        <v>45802</v>
      </c>
      <c r="G255" s="4" t="s">
        <v>44</v>
      </c>
      <c r="H255" s="4" t="s">
        <v>32</v>
      </c>
      <c r="I255" s="4" t="s">
        <v>88</v>
      </c>
      <c r="J255" s="4" t="s">
        <v>89</v>
      </c>
      <c r="K255" s="4" t="s">
        <v>90</v>
      </c>
      <c r="L255" s="7">
        <v>3.2051006299999996</v>
      </c>
      <c r="M255" s="7">
        <v>4.7160000000000002</v>
      </c>
      <c r="N255" s="7">
        <v>-0.47048809000000036</v>
      </c>
      <c r="O255" s="7">
        <v>-12.800346443548788</v>
      </c>
      <c r="P255" s="7">
        <v>-1.7210000000000001</v>
      </c>
      <c r="Q255" s="7">
        <v>-26.736057169488891</v>
      </c>
      <c r="R255" s="8">
        <v>5668.23</v>
      </c>
      <c r="S255" s="9">
        <f t="shared" si="11"/>
        <v>145.68639227272726</v>
      </c>
      <c r="T255" s="7">
        <f t="shared" si="12"/>
        <v>38.907065454603213</v>
      </c>
      <c r="U255" s="7">
        <v>45.503531142899966</v>
      </c>
    </row>
    <row r="256" spans="3:21" x14ac:dyDescent="0.2">
      <c r="C256" s="10">
        <v>253</v>
      </c>
      <c r="D256" s="4" t="s">
        <v>41</v>
      </c>
      <c r="E256" s="4" t="s">
        <v>36</v>
      </c>
      <c r="F256" s="6">
        <v>45802</v>
      </c>
      <c r="G256" s="4" t="s">
        <v>44</v>
      </c>
      <c r="H256" s="4" t="s">
        <v>32</v>
      </c>
      <c r="I256" s="4" t="s">
        <v>88</v>
      </c>
      <c r="J256" s="4" t="s">
        <v>89</v>
      </c>
      <c r="K256" s="4" t="s">
        <v>90</v>
      </c>
      <c r="L256" s="7">
        <v>3.1797385499999997</v>
      </c>
      <c r="M256" s="7">
        <v>4.6520000000000001</v>
      </c>
      <c r="N256" s="7">
        <v>-0.47046626999999974</v>
      </c>
      <c r="O256" s="7">
        <v>-12.888763595463113</v>
      </c>
      <c r="P256" s="7">
        <v>-1.6680000000000001</v>
      </c>
      <c r="Q256" s="7">
        <v>-26.39240506329114</v>
      </c>
      <c r="R256" s="8">
        <v>5427.89</v>
      </c>
      <c r="S256" s="9">
        <f t="shared" si="11"/>
        <v>144.53357045454544</v>
      </c>
      <c r="T256" s="7">
        <f t="shared" si="12"/>
        <v>37.554527871481767</v>
      </c>
      <c r="U256" s="7">
        <v>45.81431976654298</v>
      </c>
    </row>
    <row r="257" spans="3:21" x14ac:dyDescent="0.2">
      <c r="C257" s="10">
        <v>254</v>
      </c>
      <c r="D257" s="4" t="s">
        <v>41</v>
      </c>
      <c r="E257" s="4" t="s">
        <v>36</v>
      </c>
      <c r="F257" s="6">
        <v>45802</v>
      </c>
      <c r="G257" s="4" t="s">
        <v>44</v>
      </c>
      <c r="H257" s="4" t="s">
        <v>32</v>
      </c>
      <c r="I257" s="4" t="s">
        <v>88</v>
      </c>
      <c r="J257" s="4" t="s">
        <v>89</v>
      </c>
      <c r="K257" s="4" t="s">
        <v>90</v>
      </c>
      <c r="L257" s="7">
        <v>3.2498387999999996</v>
      </c>
      <c r="M257" s="7">
        <v>4.7329999999999997</v>
      </c>
      <c r="N257" s="7">
        <v>-0.46128737999999991</v>
      </c>
      <c r="O257" s="7">
        <v>-12.429848989936525</v>
      </c>
      <c r="P257" s="7">
        <v>-1.476</v>
      </c>
      <c r="Q257" s="7">
        <v>-23.77194395232727</v>
      </c>
      <c r="R257" s="8">
        <v>5928.9120000000003</v>
      </c>
      <c r="S257" s="9">
        <f t="shared" si="11"/>
        <v>147.71994545454544</v>
      </c>
      <c r="T257" s="7">
        <f t="shared" si="12"/>
        <v>40.136164292210438</v>
      </c>
      <c r="U257" s="7">
        <v>46.060002638808946</v>
      </c>
    </row>
    <row r="258" spans="3:21" x14ac:dyDescent="0.2">
      <c r="C258" s="10">
        <v>255</v>
      </c>
      <c r="D258" s="4" t="s">
        <v>40</v>
      </c>
      <c r="E258" s="4" t="s">
        <v>37</v>
      </c>
      <c r="F258" s="6">
        <v>45802</v>
      </c>
      <c r="G258" s="4" t="s">
        <v>44</v>
      </c>
      <c r="H258" s="4" t="s">
        <v>32</v>
      </c>
      <c r="I258" s="4" t="s">
        <v>88</v>
      </c>
      <c r="J258" s="4" t="s">
        <v>89</v>
      </c>
      <c r="K258" s="4" t="s">
        <v>90</v>
      </c>
      <c r="L258" s="7">
        <v>1.29271688</v>
      </c>
      <c r="M258" s="7">
        <v>1.8819999999999999</v>
      </c>
      <c r="N258" s="7">
        <v>-0.24472542399999964</v>
      </c>
      <c r="O258" s="7">
        <v>-15.917698073175934</v>
      </c>
      <c r="P258" s="7">
        <v>-0.66799999999999993</v>
      </c>
      <c r="Q258" s="7">
        <v>-26.196078431372548</v>
      </c>
      <c r="R258" s="7">
        <v>1078.22</v>
      </c>
      <c r="S258" s="9">
        <f t="shared" si="11"/>
        <v>58.759858181818174</v>
      </c>
      <c r="T258" s="7">
        <f t="shared" si="12"/>
        <v>18.349601809175731</v>
      </c>
      <c r="U258" s="7">
        <v>46.079683198920016</v>
      </c>
    </row>
    <row r="259" spans="3:21" x14ac:dyDescent="0.2">
      <c r="C259" s="10">
        <v>256</v>
      </c>
      <c r="D259" s="4" t="s">
        <v>40</v>
      </c>
      <c r="E259" s="4" t="s">
        <v>37</v>
      </c>
      <c r="F259" s="6">
        <v>45802</v>
      </c>
      <c r="G259" s="4" t="s">
        <v>44</v>
      </c>
      <c r="H259" s="4" t="s">
        <v>32</v>
      </c>
      <c r="I259" s="4" t="s">
        <v>88</v>
      </c>
      <c r="J259" s="4" t="s">
        <v>89</v>
      </c>
      <c r="K259" s="4" t="s">
        <v>90</v>
      </c>
      <c r="L259" s="7">
        <v>1.2163801650000001</v>
      </c>
      <c r="M259" s="7">
        <v>1.8080000000000001</v>
      </c>
      <c r="N259" s="7">
        <v>-0.23087226699999985</v>
      </c>
      <c r="O259" s="7">
        <v>-15.952453206863906</v>
      </c>
      <c r="P259" s="7">
        <v>-0.65400000000000014</v>
      </c>
      <c r="Q259" s="7">
        <v>-26.563769293257515</v>
      </c>
      <c r="R259" s="7">
        <v>1417.77</v>
      </c>
      <c r="S259" s="9">
        <f t="shared" si="11"/>
        <v>55.290007500000009</v>
      </c>
      <c r="T259" s="7">
        <f t="shared" si="12"/>
        <v>25.642427340962104</v>
      </c>
      <c r="U259" s="7">
        <v>44.948984791310735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4D1CA0C4FBF45B13B77D3DAA2A314" ma:contentTypeVersion="24" ma:contentTypeDescription="Create a new document." ma:contentTypeScope="" ma:versionID="9f20e65a0db467aef624e4ddf6ebc7f7">
  <xsd:schema xmlns:xsd="http://www.w3.org/2001/XMLSchema" xmlns:xs="http://www.w3.org/2001/XMLSchema" xmlns:p="http://schemas.microsoft.com/office/2006/metadata/properties" xmlns:ns2="436653bc-46fc-43e4-b8ce-28c863f10924" xmlns:ns3="9357fe51-d498-43c0-b97d-d602a48bc517" targetNamespace="http://schemas.microsoft.com/office/2006/metadata/properties" ma:root="true" ma:fieldsID="a67c09603b7c599ecae61562ec34af89" ns2:_="" ns3:_="">
    <xsd:import namespace="436653bc-46fc-43e4-b8ce-28c863f10924"/>
    <xsd:import namespace="9357fe51-d498-43c0-b97d-d602a48bc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653bc-46fc-43e4-b8ce-28c863f10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7fe51-d498-43c0-b97d-d602a48bc51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6A64CE-A40D-4B8F-B0BA-9CE8B250C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6653bc-46fc-43e4-b8ce-28c863f10924"/>
    <ds:schemaRef ds:uri="9357fe51-d498-43c0-b97d-d602a48bc5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9758B4-BB16-4D67-A3CF-F64CA78C1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F6DEEF-AC89-4BFB-BA76-DA84F20E6C39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0b310d6e-4f35-45fc-9f8d-575945658861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Johnson</dc:creator>
  <cp:lastModifiedBy>Johnson, Drew M.</cp:lastModifiedBy>
  <dcterms:created xsi:type="dcterms:W3CDTF">2026-07-14T18:41:37Z</dcterms:created>
  <dcterms:modified xsi:type="dcterms:W3CDTF">2026-07-17T16:29:04Z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0x010100F944D1CA0C4FBF45B13B77D3DAA2A314</vt:lpwstr>
  </property>
</Properties>
</file>